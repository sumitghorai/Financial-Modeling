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defaultThemeVersion="124226"/>
  <xr:revisionPtr revIDLastSave="0" documentId="13_ncr:1_{3CDE7C2D-6454-49F9-80F8-72773FFB5F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tio" sheetId="1" r:id="rId1"/>
    <sheet name="Comparison" sheetId="8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7" i="8" l="1"/>
  <c r="G51" i="8"/>
  <c r="G47" i="8"/>
  <c r="G40" i="8"/>
  <c r="G39" i="8"/>
  <c r="G37" i="8"/>
  <c r="G36" i="8"/>
  <c r="G33" i="8"/>
  <c r="G31" i="8"/>
  <c r="G30" i="8"/>
  <c r="G28" i="8"/>
  <c r="G25" i="8"/>
  <c r="G24" i="8"/>
  <c r="G22" i="8"/>
  <c r="G21" i="8"/>
  <c r="G16" i="8"/>
  <c r="G13" i="8"/>
  <c r="G9" i="8"/>
  <c r="H43" i="1"/>
  <c r="I43" i="1"/>
  <c r="J43" i="1"/>
  <c r="K43" i="1"/>
  <c r="G43" i="1"/>
  <c r="F36" i="1"/>
  <c r="F34" i="1"/>
  <c r="H42" i="1"/>
  <c r="I42" i="1"/>
  <c r="I44" i="1" s="1"/>
  <c r="J42" i="1"/>
  <c r="J44" i="1" s="1"/>
  <c r="K42" i="1"/>
  <c r="G42" i="1"/>
  <c r="F44" i="1"/>
  <c r="F28" i="1"/>
  <c r="F27" i="1"/>
  <c r="G12" i="1"/>
  <c r="G9" i="1"/>
  <c r="G13" i="1"/>
  <c r="G15" i="1"/>
  <c r="G21" i="1"/>
  <c r="G22" i="1"/>
  <c r="G24" i="1"/>
  <c r="G30" i="1"/>
  <c r="G34" i="1" s="1"/>
  <c r="G36" i="1" s="1"/>
  <c r="G40" i="1"/>
  <c r="I12" i="1"/>
  <c r="J12" i="1"/>
  <c r="K12" i="1"/>
  <c r="H12" i="1"/>
  <c r="F12" i="1"/>
  <c r="F13" i="1"/>
  <c r="K57" i="8"/>
  <c r="J57" i="8"/>
  <c r="I57" i="8"/>
  <c r="H57" i="8"/>
  <c r="K51" i="8"/>
  <c r="J51" i="8"/>
  <c r="I51" i="8"/>
  <c r="H51" i="8"/>
  <c r="K47" i="8"/>
  <c r="J47" i="8"/>
  <c r="I47" i="8"/>
  <c r="H47" i="8"/>
  <c r="K36" i="8"/>
  <c r="K37" i="8" s="1"/>
  <c r="J36" i="8"/>
  <c r="J37" i="8" s="1"/>
  <c r="I36" i="8"/>
  <c r="I37" i="8" s="1"/>
  <c r="H36" i="8"/>
  <c r="H37" i="8" s="1"/>
  <c r="K31" i="8"/>
  <c r="K33" i="8" s="1"/>
  <c r="J31" i="8"/>
  <c r="J33" i="8" s="1"/>
  <c r="I31" i="8"/>
  <c r="I33" i="8" s="1"/>
  <c r="H31" i="8"/>
  <c r="H33" i="8" s="1"/>
  <c r="K28" i="8"/>
  <c r="K30" i="8" s="1"/>
  <c r="J28" i="8"/>
  <c r="J30" i="8" s="1"/>
  <c r="I28" i="8"/>
  <c r="I30" i="8" s="1"/>
  <c r="H28" i="8"/>
  <c r="H30" i="8" s="1"/>
  <c r="K24" i="8"/>
  <c r="J24" i="8"/>
  <c r="I24" i="8"/>
  <c r="H24" i="8"/>
  <c r="K22" i="8"/>
  <c r="J22" i="8"/>
  <c r="I22" i="8"/>
  <c r="H22" i="8"/>
  <c r="K21" i="8"/>
  <c r="J21" i="8"/>
  <c r="I21" i="8"/>
  <c r="H21" i="8"/>
  <c r="K15" i="8"/>
  <c r="J15" i="8"/>
  <c r="J39" i="8" s="1"/>
  <c r="J40" i="8" s="1"/>
  <c r="I15" i="8"/>
  <c r="I39" i="8" s="1"/>
  <c r="I40" i="8" s="1"/>
  <c r="H15" i="8"/>
  <c r="H39" i="8" s="1"/>
  <c r="H40" i="8" s="1"/>
  <c r="K14" i="8"/>
  <c r="J14" i="8"/>
  <c r="J16" i="8" s="1"/>
  <c r="I14" i="8"/>
  <c r="H14" i="8"/>
  <c r="K13" i="8"/>
  <c r="J13" i="8"/>
  <c r="I13" i="8"/>
  <c r="H13" i="8"/>
  <c r="K9" i="8"/>
  <c r="J9" i="8"/>
  <c r="I9" i="8"/>
  <c r="H9" i="8"/>
  <c r="I16" i="8" l="1"/>
  <c r="K25" i="8"/>
  <c r="J25" i="8"/>
  <c r="H44" i="1"/>
  <c r="H25" i="8"/>
  <c r="H16" i="8"/>
  <c r="K44" i="1"/>
  <c r="K16" i="8"/>
  <c r="I25" i="8"/>
  <c r="G32" i="1"/>
  <c r="G25" i="1"/>
  <c r="G44" i="1"/>
  <c r="G27" i="1"/>
  <c r="G28" i="1" s="1"/>
  <c r="G16" i="1"/>
  <c r="K39" i="8"/>
  <c r="K40" i="8" s="1"/>
  <c r="H15" i="1" l="1"/>
  <c r="H40" i="1"/>
  <c r="H30" i="1"/>
  <c r="H24" i="1"/>
  <c r="H27" i="1" s="1"/>
  <c r="H28" i="1" s="1"/>
  <c r="H22" i="1"/>
  <c r="H21" i="1"/>
  <c r="H9" i="1"/>
  <c r="I13" i="1"/>
  <c r="J13" i="1"/>
  <c r="K13" i="1"/>
  <c r="H13" i="1"/>
  <c r="H32" i="1" l="1"/>
  <c r="H34" i="1"/>
  <c r="H36" i="1" s="1"/>
  <c r="H16" i="1"/>
  <c r="H25" i="1"/>
  <c r="I40" i="1"/>
  <c r="J30" i="1"/>
  <c r="J34" i="1" s="1"/>
  <c r="J36" i="1" s="1"/>
  <c r="K30" i="1"/>
  <c r="K34" i="1" s="1"/>
  <c r="K36" i="1" s="1"/>
  <c r="I30" i="1"/>
  <c r="I34" i="1" s="1"/>
  <c r="I36" i="1" s="1"/>
  <c r="J24" i="1"/>
  <c r="J27" i="1" s="1"/>
  <c r="J28" i="1" s="1"/>
  <c r="K24" i="1"/>
  <c r="K27" i="1" s="1"/>
  <c r="K28" i="1" s="1"/>
  <c r="I24" i="1"/>
  <c r="I27" i="1" s="1"/>
  <c r="I28" i="1" s="1"/>
  <c r="J22" i="1"/>
  <c r="K22" i="1"/>
  <c r="I22" i="1"/>
  <c r="J15" i="1"/>
  <c r="K15" i="1"/>
  <c r="I15" i="1"/>
  <c r="K25" i="1" l="1"/>
  <c r="J25" i="1"/>
  <c r="I25" i="1"/>
  <c r="K32" i="1" l="1"/>
  <c r="J32" i="1"/>
  <c r="K21" i="1"/>
  <c r="I9" i="1"/>
  <c r="K40" i="1"/>
  <c r="J40" i="1"/>
  <c r="I32" i="1"/>
  <c r="J21" i="1"/>
  <c r="I21" i="1"/>
  <c r="K16" i="1"/>
  <c r="J16" i="1"/>
  <c r="I16" i="1"/>
  <c r="K9" i="1"/>
  <c r="J9" i="1"/>
</calcChain>
</file>

<file path=xl/sharedStrings.xml><?xml version="1.0" encoding="utf-8"?>
<sst xmlns="http://schemas.openxmlformats.org/spreadsheetml/2006/main" count="101" uniqueCount="83">
  <si>
    <t xml:space="preserve">Profitability </t>
  </si>
  <si>
    <t>year</t>
  </si>
  <si>
    <t xml:space="preserve">Gross profit margin </t>
  </si>
  <si>
    <t xml:space="preserve">Gross profit </t>
  </si>
  <si>
    <t>Total Revenue</t>
  </si>
  <si>
    <t xml:space="preserve">Liquidity Ratio </t>
  </si>
  <si>
    <t xml:space="preserve">Current Ratio </t>
  </si>
  <si>
    <t xml:space="preserve">Asset Turnover </t>
  </si>
  <si>
    <t xml:space="preserve">Revenue
Total Assets </t>
  </si>
  <si>
    <t xml:space="preserve">Debt Equity ratio </t>
  </si>
  <si>
    <t>Debt Equity ratio</t>
  </si>
  <si>
    <t>Net Profit</t>
  </si>
  <si>
    <t xml:space="preserve">Gross Margin </t>
  </si>
  <si>
    <t xml:space="preserve">net Margin </t>
  </si>
  <si>
    <t xml:space="preserve">Market </t>
  </si>
  <si>
    <t>Gearing Ratio</t>
  </si>
  <si>
    <t>Interest Coverage Ratio</t>
  </si>
  <si>
    <t>Operating Profit / Interest Charges</t>
  </si>
  <si>
    <t>Receivable Collection Period</t>
  </si>
  <si>
    <t>Trade Receivable / sales *365</t>
  </si>
  <si>
    <t>Inventory Turnover Period</t>
  </si>
  <si>
    <t>Inventory / Cost of sales * 365</t>
  </si>
  <si>
    <t>Payable Payment Period</t>
  </si>
  <si>
    <t>Payable / COGS *365</t>
  </si>
  <si>
    <t>Return on Equity</t>
  </si>
  <si>
    <t xml:space="preserve">Net profit * Total Equity  </t>
  </si>
  <si>
    <t>Price/Earning Ratio</t>
  </si>
  <si>
    <r>
      <rPr>
        <u/>
        <sz val="11"/>
        <rFont val="Arial"/>
        <family val="2"/>
      </rPr>
      <t>Current Asset</t>
    </r>
    <r>
      <rPr>
        <sz val="11"/>
        <rFont val="Arial"/>
        <family val="2"/>
      </rPr>
      <t xml:space="preserve"> 
Current Liabilities </t>
    </r>
  </si>
  <si>
    <t>Formula</t>
  </si>
  <si>
    <t xml:space="preserve">Net profit margin </t>
  </si>
  <si>
    <t>Financial ratio analysis of Astrazeneca</t>
  </si>
  <si>
    <t xml:space="preserve">"Variables" </t>
  </si>
  <si>
    <t xml:space="preserve">"Formula" </t>
  </si>
  <si>
    <t>GSK PLC (Million)</t>
  </si>
  <si>
    <t>"Particulars"</t>
  </si>
  <si>
    <t>AstraZeneca (£ Million)</t>
  </si>
  <si>
    <t>GSK PLC ( £ Million)</t>
  </si>
  <si>
    <t xml:space="preserve">"Gross profit margin" </t>
  </si>
  <si>
    <t xml:space="preserve">"Current Ratio" </t>
  </si>
  <si>
    <t>"Profitability"</t>
  </si>
  <si>
    <t>"Quick Ratio (Acid-test)"</t>
  </si>
  <si>
    <t>"Efiiciency  Ratio"</t>
  </si>
  <si>
    <t xml:space="preserve">"Asset Turnover" </t>
  </si>
  <si>
    <t xml:space="preserve">"Revenue"
Total Assets </t>
  </si>
  <si>
    <r>
      <rPr>
        <u/>
        <sz val="11"/>
        <rFont val="Arial"/>
        <family val="2"/>
      </rPr>
      <t>"(Current Asset - inventories)'</t>
    </r>
    <r>
      <rPr>
        <sz val="11"/>
        <rFont val="Arial"/>
        <family val="2"/>
      </rPr>
      <t xml:space="preserve">
Current Liabilities </t>
    </r>
  </si>
  <si>
    <r>
      <t xml:space="preserve">"Net profit x100"
</t>
    </r>
    <r>
      <rPr>
        <sz val="11"/>
        <rFont val="Arial"/>
        <family val="2"/>
      </rPr>
      <t xml:space="preserve">Total Revenue </t>
    </r>
  </si>
  <si>
    <r>
      <t xml:space="preserve">"Gross Profit   x 100"
</t>
    </r>
    <r>
      <rPr>
        <sz val="11"/>
        <rFont val="Arial"/>
        <family val="2"/>
      </rPr>
      <t xml:space="preserve">Total Revenue </t>
    </r>
    <r>
      <rPr>
        <u/>
        <sz val="11"/>
        <rFont val="Arial"/>
        <family val="2"/>
      </rPr>
      <t xml:space="preserve">
</t>
    </r>
  </si>
  <si>
    <t>"Current Assets"</t>
  </si>
  <si>
    <t xml:space="preserve">"Current Liabilities" </t>
  </si>
  <si>
    <t>"Current ratio"</t>
  </si>
  <si>
    <t xml:space="preserve">"Current Asset" </t>
  </si>
  <si>
    <t xml:space="preserve">"Inventories" </t>
  </si>
  <si>
    <t xml:space="preserve">"Quick Ratio" </t>
  </si>
  <si>
    <t xml:space="preserve">"Revenue" </t>
  </si>
  <si>
    <t xml:space="preserve">"Total assets" </t>
  </si>
  <si>
    <t xml:space="preserve">"Assets turnover ratio" </t>
  </si>
  <si>
    <t xml:space="preserve">"Liquidity Ratios" </t>
  </si>
  <si>
    <t xml:space="preserve">Quick Ratio </t>
  </si>
  <si>
    <t xml:space="preserve">"Net profit margin" </t>
  </si>
  <si>
    <t>Leverage  Ratio</t>
  </si>
  <si>
    <t>Debt to equity</t>
  </si>
  <si>
    <t xml:space="preserve"> Debt to capital</t>
  </si>
  <si>
    <t>Operating profit margin</t>
  </si>
  <si>
    <t xml:space="preserve">"Operating Profit   x 100"
Total Revenue </t>
  </si>
  <si>
    <t>Operating Profit</t>
  </si>
  <si>
    <t>Cash  Ratio</t>
  </si>
  <si>
    <t xml:space="preserve">Cash /
Current Liabilities </t>
  </si>
  <si>
    <t>Cash</t>
  </si>
  <si>
    <t xml:space="preserve"> Fixed asset turnover</t>
  </si>
  <si>
    <r>
      <t xml:space="preserve">"Revenue"
</t>
    </r>
    <r>
      <rPr>
        <sz val="11"/>
        <rFont val="Arial"/>
        <family val="2"/>
      </rPr>
      <t xml:space="preserve">Fixed Assets </t>
    </r>
  </si>
  <si>
    <r>
      <rPr>
        <u/>
        <sz val="11"/>
        <rFont val="Arial"/>
        <family val="2"/>
      </rPr>
      <t xml:space="preserve">Total debt </t>
    </r>
    <r>
      <rPr>
        <sz val="11"/>
        <rFont val="Arial"/>
        <family val="2"/>
      </rPr>
      <t xml:space="preserve">
Total equity
  </t>
    </r>
  </si>
  <si>
    <r>
      <rPr>
        <u/>
        <sz val="11"/>
        <rFont val="Arial"/>
        <family val="2"/>
      </rPr>
      <t xml:space="preserve">Total debt </t>
    </r>
    <r>
      <rPr>
        <sz val="11"/>
        <rFont val="Arial"/>
        <family val="2"/>
      </rPr>
      <t xml:space="preserve">
Total equity+total debt</t>
    </r>
  </si>
  <si>
    <t>Total debt</t>
  </si>
  <si>
    <t>Total equity</t>
  </si>
  <si>
    <t>Fixed asset</t>
  </si>
  <si>
    <t>Competitor's Analysis</t>
  </si>
  <si>
    <t>Efficiency  Ratio</t>
  </si>
  <si>
    <r>
      <t xml:space="preserve">Gross Profit   x 100
</t>
    </r>
    <r>
      <rPr>
        <sz val="12"/>
        <rFont val="Times New Roman"/>
        <family val="1"/>
      </rPr>
      <t xml:space="preserve">Total Revenue </t>
    </r>
    <r>
      <rPr>
        <u/>
        <sz val="12"/>
        <rFont val="Times New Roman"/>
        <family val="1"/>
      </rPr>
      <t xml:space="preserve">
</t>
    </r>
  </si>
  <si>
    <r>
      <t xml:space="preserve">Net profit x100
</t>
    </r>
    <r>
      <rPr>
        <sz val="12"/>
        <rFont val="Times New Roman"/>
        <family val="1"/>
      </rPr>
      <t xml:space="preserve">Total Revenue </t>
    </r>
  </si>
  <si>
    <r>
      <rPr>
        <u/>
        <sz val="12"/>
        <rFont val="Times New Roman"/>
        <family val="1"/>
      </rPr>
      <t>Current Asset</t>
    </r>
    <r>
      <rPr>
        <sz val="12"/>
        <rFont val="Times New Roman"/>
        <family val="1"/>
      </rPr>
      <t xml:space="preserve"> 
Current Liabilities </t>
    </r>
  </si>
  <si>
    <r>
      <rPr>
        <u/>
        <sz val="12"/>
        <rFont val="Times New Roman"/>
        <family val="1"/>
      </rPr>
      <t>(Current Asset - inventories)</t>
    </r>
    <r>
      <rPr>
        <sz val="12"/>
        <rFont val="Times New Roman"/>
        <family val="1"/>
      </rPr>
      <t xml:space="preserve">
Current Liabilities </t>
    </r>
  </si>
  <si>
    <r>
      <rPr>
        <u/>
        <sz val="12"/>
        <rFont val="Times New Roman"/>
        <family val="1"/>
      </rPr>
      <t xml:space="preserve">Noncurrent liabilities  </t>
    </r>
    <r>
      <rPr>
        <sz val="12"/>
        <rFont val="Times New Roman"/>
        <family val="1"/>
      </rPr>
      <t xml:space="preserve">
ordinary Shareholders’ fund
  </t>
    </r>
  </si>
  <si>
    <r>
      <t xml:space="preserve">Market Price per share/ earning per share </t>
    </r>
    <r>
      <rPr>
        <sz val="12"/>
        <rFont val="Times New Roman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</si>
</sst>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0.0"/>
    <numFmt numFmtId="166" formatCode="_-[$£-809]* #,##0_-;\-[$£-809]* #,##0_-;_-[$£-809]* &quot;-&quot;??_-;_-@_-"/>
  </numFmts>
  <fonts count="15" x14ac:knownFonts="1"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i/>
      <sz val="12"/>
      <name val="Times New Roman"/>
      <family val="1"/>
    </font>
    <font>
      <u/>
      <sz val="12"/>
      <name val="Times New Roman"/>
      <family val="1"/>
    </font>
    <font>
      <sz val="12"/>
      <name val="Times New Roman"/>
      <family val="1"/>
    </font>
    <font>
      <b/>
      <i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E5E5E5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rgb="FFE5E5E5"/>
      </top>
      <bottom style="medium">
        <color rgb="FFE5E5E5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0" fontId="2" fillId="0" borderId="5" xfId="0" applyFont="1" applyBorder="1" applyAlignment="1">
      <alignment horizontal="right" wrapText="1"/>
    </xf>
    <xf numFmtId="0" fontId="3" fillId="0" borderId="0" xfId="0" applyFont="1"/>
    <xf numFmtId="0" fontId="4" fillId="0" borderId="1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3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 applyAlignment="1">
      <alignment wrapText="1"/>
    </xf>
    <xf numFmtId="10" fontId="3" fillId="0" borderId="2" xfId="1" applyNumberFormat="1" applyFont="1" applyFill="1" applyBorder="1" applyAlignment="1">
      <alignment horizontal="right" wrapText="1"/>
    </xf>
    <xf numFmtId="0" fontId="4" fillId="0" borderId="19" xfId="0" applyFont="1" applyBorder="1" applyAlignment="1">
      <alignment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2" fontId="3" fillId="0" borderId="1" xfId="0" applyNumberFormat="1" applyFont="1" applyBorder="1"/>
    <xf numFmtId="0" fontId="2" fillId="0" borderId="23" xfId="0" applyFont="1" applyBorder="1"/>
    <xf numFmtId="0" fontId="2" fillId="0" borderId="0" xfId="0" applyFont="1"/>
    <xf numFmtId="0" fontId="2" fillId="0" borderId="5" xfId="0" applyFont="1" applyBorder="1" applyAlignment="1">
      <alignment horizontal="left" wrapText="1"/>
    </xf>
    <xf numFmtId="0" fontId="4" fillId="0" borderId="4" xfId="0" applyFont="1" applyBorder="1"/>
    <xf numFmtId="0" fontId="5" fillId="0" borderId="13" xfId="0" applyFont="1" applyBorder="1" applyAlignment="1">
      <alignment vertical="center"/>
    </xf>
    <xf numFmtId="0" fontId="4" fillId="0" borderId="13" xfId="0" applyFont="1" applyBorder="1"/>
    <xf numFmtId="2" fontId="5" fillId="0" borderId="1" xfId="0" applyNumberFormat="1" applyFont="1" applyBorder="1"/>
    <xf numFmtId="0" fontId="5" fillId="0" borderId="4" xfId="0" applyFont="1" applyBorder="1" applyAlignment="1">
      <alignment vertical="center"/>
    </xf>
    <xf numFmtId="2" fontId="5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vertic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 vertical="center" wrapText="1"/>
    </xf>
    <xf numFmtId="10" fontId="5" fillId="0" borderId="0" xfId="1" applyNumberFormat="1" applyFont="1" applyFill="1" applyBorder="1" applyAlignment="1">
      <alignment horizontal="right" wrapText="1"/>
    </xf>
    <xf numFmtId="10" fontId="3" fillId="0" borderId="0" xfId="1" applyNumberFormat="1" applyFont="1" applyFill="1" applyBorder="1" applyAlignment="1">
      <alignment horizontal="right" wrapText="1"/>
    </xf>
    <xf numFmtId="0" fontId="3" fillId="0" borderId="0" xfId="1" applyNumberFormat="1" applyFont="1" applyFill="1" applyBorder="1" applyAlignment="1">
      <alignment horizontal="right" wrapText="1"/>
    </xf>
    <xf numFmtId="9" fontId="5" fillId="0" borderId="0" xfId="1" applyFont="1" applyFill="1" applyBorder="1"/>
    <xf numFmtId="2" fontId="5" fillId="0" borderId="0" xfId="0" applyNumberFormat="1" applyFont="1"/>
    <xf numFmtId="2" fontId="5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1" xfId="0" applyFont="1" applyBorder="1"/>
    <xf numFmtId="2" fontId="3" fillId="0" borderId="1" xfId="0" applyNumberFormat="1" applyFont="1" applyBorder="1" applyAlignment="1">
      <alignment horizontal="right" vertical="center" wrapText="1"/>
    </xf>
    <xf numFmtId="0" fontId="4" fillId="0" borderId="12" xfId="0" applyFont="1" applyBorder="1"/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9" xfId="0" applyFont="1" applyBorder="1"/>
    <xf numFmtId="0" fontId="4" fillId="0" borderId="17" xfId="0" applyFont="1" applyBorder="1"/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2" fontId="5" fillId="0" borderId="19" xfId="0" applyNumberFormat="1" applyFont="1" applyBorder="1"/>
    <xf numFmtId="0" fontId="4" fillId="0" borderId="12" xfId="0" applyFont="1" applyBorder="1" applyAlignment="1">
      <alignment horizontal="center"/>
    </xf>
    <xf numFmtId="3" fontId="2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5" fillId="0" borderId="12" xfId="0" applyFont="1" applyBorder="1"/>
    <xf numFmtId="0" fontId="4" fillId="0" borderId="20" xfId="0" applyFont="1" applyBorder="1" applyAlignment="1">
      <alignment horizontal="center"/>
    </xf>
    <xf numFmtId="0" fontId="5" fillId="0" borderId="26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4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vertical="center" wrapText="1"/>
    </xf>
    <xf numFmtId="3" fontId="0" fillId="0" borderId="0" xfId="0" applyNumberFormat="1"/>
    <xf numFmtId="1" fontId="2" fillId="0" borderId="0" xfId="0" applyNumberFormat="1" applyFont="1"/>
    <xf numFmtId="1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/>
    <xf numFmtId="1" fontId="3" fillId="0" borderId="1" xfId="1" applyNumberFormat="1" applyFont="1" applyFill="1" applyBorder="1" applyAlignment="1">
      <alignment horizontal="right" wrapText="1"/>
    </xf>
    <xf numFmtId="10" fontId="5" fillId="3" borderId="19" xfId="1" applyNumberFormat="1" applyFont="1" applyFill="1" applyBorder="1" applyAlignment="1">
      <alignment horizontal="right" wrapText="1"/>
    </xf>
    <xf numFmtId="1" fontId="3" fillId="0" borderId="4" xfId="0" applyNumberFormat="1" applyFont="1" applyBorder="1" applyAlignment="1">
      <alignment horizontal="right" vertical="center" wrapText="1"/>
    </xf>
    <xf numFmtId="1" fontId="3" fillId="0" borderId="4" xfId="0" applyNumberFormat="1" applyFont="1" applyBorder="1"/>
    <xf numFmtId="9" fontId="5" fillId="3" borderId="1" xfId="1" applyFont="1" applyFill="1" applyBorder="1"/>
    <xf numFmtId="10" fontId="5" fillId="3" borderId="1" xfId="1" applyNumberFormat="1" applyFont="1" applyFill="1" applyBorder="1"/>
    <xf numFmtId="10" fontId="5" fillId="3" borderId="1" xfId="1" applyNumberFormat="1" applyFont="1" applyFill="1" applyBorder="1" applyAlignment="1">
      <alignment horizontal="right" wrapText="1"/>
    </xf>
    <xf numFmtId="2" fontId="5" fillId="3" borderId="1" xfId="0" applyNumberFormat="1" applyFont="1" applyFill="1" applyBorder="1"/>
    <xf numFmtId="1" fontId="3" fillId="0" borderId="4" xfId="0" applyNumberFormat="1" applyFont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1" fontId="5" fillId="3" borderId="1" xfId="0" applyNumberFormat="1" applyFont="1" applyFill="1" applyBorder="1" applyAlignment="1">
      <alignment vertical="center" wrapText="1"/>
    </xf>
    <xf numFmtId="0" fontId="10" fillId="0" borderId="0" xfId="0" applyFont="1"/>
    <xf numFmtId="0" fontId="9" fillId="4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0" fontId="9" fillId="0" borderId="1" xfId="0" applyFont="1" applyBorder="1"/>
    <xf numFmtId="0" fontId="11" fillId="0" borderId="1" xfId="0" applyFont="1" applyBorder="1" applyAlignment="1">
      <alignment vertical="center"/>
    </xf>
    <xf numFmtId="3" fontId="13" fillId="0" borderId="1" xfId="0" applyNumberFormat="1" applyFont="1" applyBorder="1" applyAlignment="1">
      <alignment horizontal="right" wrapText="1"/>
    </xf>
    <xf numFmtId="2" fontId="13" fillId="0" borderId="1" xfId="0" applyNumberFormat="1" applyFont="1" applyBorder="1"/>
    <xf numFmtId="2" fontId="13" fillId="0" borderId="1" xfId="0" applyNumberFormat="1" applyFont="1" applyBorder="1" applyAlignment="1">
      <alignment horizontal="right" vertical="center" wrapText="1"/>
    </xf>
    <xf numFmtId="10" fontId="11" fillId="0" borderId="1" xfId="1" applyNumberFormat="1" applyFont="1" applyFill="1" applyBorder="1" applyAlignment="1">
      <alignment horizontal="right" wrapText="1"/>
    </xf>
    <xf numFmtId="3" fontId="13" fillId="0" borderId="1" xfId="0" applyNumberFormat="1" applyFont="1" applyBorder="1" applyAlignment="1">
      <alignment horizontal="right" vertical="center" wrapText="1"/>
    </xf>
    <xf numFmtId="2" fontId="13" fillId="0" borderId="1" xfId="1" applyNumberFormat="1" applyFont="1" applyFill="1" applyBorder="1" applyAlignment="1">
      <alignment horizontal="right" wrapText="1"/>
    </xf>
    <xf numFmtId="0" fontId="13" fillId="0" borderId="1" xfId="0" applyFont="1" applyBorder="1" applyAlignment="1">
      <alignment horizontal="center" vertical="center" wrapText="1"/>
    </xf>
    <xf numFmtId="166" fontId="13" fillId="0" borderId="1" xfId="0" applyNumberFormat="1" applyFont="1" applyBorder="1"/>
    <xf numFmtId="9" fontId="11" fillId="0" borderId="1" xfId="1" applyFont="1" applyFill="1" applyBorder="1" applyAlignment="1">
      <alignment horizontal="right"/>
    </xf>
    <xf numFmtId="9" fontId="11" fillId="0" borderId="1" xfId="1" applyFont="1" applyFill="1" applyBorder="1"/>
    <xf numFmtId="2" fontId="11" fillId="0" borderId="1" xfId="0" applyNumberFormat="1" applyFont="1" applyBorder="1"/>
    <xf numFmtId="2" fontId="11" fillId="0" borderId="1" xfId="0" applyNumberFormat="1" applyFont="1" applyBorder="1" applyAlignment="1">
      <alignment vertical="center" wrapText="1"/>
    </xf>
    <xf numFmtId="2" fontId="13" fillId="0" borderId="1" xfId="0" applyNumberFormat="1" applyFont="1" applyBorder="1" applyAlignment="1">
      <alignment vertical="center" wrapText="1"/>
    </xf>
    <xf numFmtId="1" fontId="11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horizontal="right" vertical="center" wrapText="1"/>
    </xf>
    <xf numFmtId="166" fontId="10" fillId="0" borderId="1" xfId="0" applyNumberFormat="1" applyFont="1" applyBorder="1"/>
    <xf numFmtId="1" fontId="14" fillId="0" borderId="1" xfId="0" applyNumberFormat="1" applyFont="1" applyBorder="1"/>
    <xf numFmtId="0" fontId="10" fillId="0" borderId="1" xfId="0" applyFont="1" applyBorder="1"/>
    <xf numFmtId="2" fontId="10" fillId="0" borderId="1" xfId="0" applyNumberFormat="1" applyFont="1" applyBorder="1"/>
    <xf numFmtId="166" fontId="10" fillId="0" borderId="0" xfId="0" applyNumberFormat="1" applyFont="1"/>
    <xf numFmtId="2" fontId="14" fillId="0" borderId="1" xfId="0" applyNumberFormat="1" applyFont="1" applyBorder="1"/>
    <xf numFmtId="2" fontId="10" fillId="0" borderId="1" xfId="0" applyNumberFormat="1" applyFont="1" applyBorder="1" applyAlignment="1">
      <alignment horizontal="right" vertical="center" wrapText="1"/>
    </xf>
    <xf numFmtId="166" fontId="13" fillId="0" borderId="1" xfId="0" applyNumberFormat="1" applyFont="1" applyBorder="1" applyAlignment="1">
      <alignment horizontal="right" vertical="center" wrapText="1"/>
    </xf>
    <xf numFmtId="2" fontId="13" fillId="0" borderId="1" xfId="0" applyNumberFormat="1" applyFont="1" applyBorder="1" applyAlignment="1">
      <alignment wrapText="1"/>
    </xf>
    <xf numFmtId="165" fontId="11" fillId="0" borderId="1" xfId="0" applyNumberFormat="1" applyFont="1" applyBorder="1" applyAlignment="1">
      <alignment horizontal="right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2" borderId="14" xfId="0" applyFont="1" applyFill="1" applyBorder="1"/>
    <xf numFmtId="0" fontId="8" fillId="2" borderId="18" xfId="0" applyFont="1" applyFill="1" applyBorder="1"/>
    <xf numFmtId="0" fontId="6" fillId="0" borderId="19" xfId="0" applyFont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3" fillId="0" borderId="4" xfId="0" applyFont="1" applyBorder="1" applyAlignment="1">
      <alignment horizontal="center" vertical="center" wrapText="1"/>
    </xf>
    <xf numFmtId="0" fontId="3" fillId="2" borderId="15" xfId="0" applyFont="1" applyFill="1" applyBorder="1"/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Profitability</a:t>
            </a:r>
            <a:r>
              <a:rPr lang="en-US" baseline="0"/>
              <a:t>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'[1]Ratio Comparison '!$E$66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'[1]Ratio Comparison '!$F$64:$O$65</c:f>
              <c:multiLvlStrCache>
                <c:ptCount val="10"/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</c:lvl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</c:lvl>
              </c:multiLvlStrCache>
            </c:multiLvlStrRef>
          </c:cat>
          <c:val>
            <c:numRef>
              <c:f>'[1]Ratio Comparison '!$F$66:$O$66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E-47D7-A032-67DFE9C6D044}"/>
            </c:ext>
          </c:extLst>
        </c:ser>
        <c:ser>
          <c:idx val="1"/>
          <c:order val="1"/>
          <c:tx>
            <c:strRef>
              <c:f>'[1]Ratio Comparison '!$E$67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'[1]Ratio Comparison '!$F$64:$O$65</c:f>
              <c:multiLvlStrCache>
                <c:ptCount val="10"/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</c:lvl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</c:lvl>
              </c:multiLvlStrCache>
            </c:multiLvlStrRef>
          </c:cat>
          <c:val>
            <c:numRef>
              <c:f>'[1]Ratio Comparison '!$F$67:$O$67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BE-47D7-A032-67DFE9C6D044}"/>
            </c:ext>
          </c:extLst>
        </c:ser>
        <c:ser>
          <c:idx val="2"/>
          <c:order val="2"/>
          <c:tx>
            <c:strRef>
              <c:f>'[1]Ratio Comparison '!$E$68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'[1]Ratio Comparison '!$F$64:$O$65</c:f>
              <c:multiLvlStrCache>
                <c:ptCount val="10"/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</c:lvl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</c:lvl>
              </c:multiLvlStrCache>
            </c:multiLvlStrRef>
          </c:cat>
          <c:val>
            <c:numRef>
              <c:f>'[1]Ratio Comparison '!$F$68:$O$68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BE-47D7-A032-67DFE9C6D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86972672"/>
        <c:axId val="86986752"/>
      </c:barChart>
      <c:catAx>
        <c:axId val="86972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86986752"/>
        <c:crosses val="autoZero"/>
        <c:auto val="1"/>
        <c:lblAlgn val="ctr"/>
        <c:lblOffset val="100"/>
        <c:noMultiLvlLbl val="0"/>
      </c:catAx>
      <c:valAx>
        <c:axId val="8698675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8697267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61</xdr:row>
      <xdr:rowOff>123824</xdr:rowOff>
    </xdr:from>
    <xdr:to>
      <xdr:col>19</xdr:col>
      <xdr:colOff>371475</xdr:colOff>
      <xdr:row>78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anchita/sanchita/STUD-29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Comparison 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W124"/>
  <sheetViews>
    <sheetView topLeftCell="C16" workbookViewId="0">
      <selection activeCell="M31" sqref="M31"/>
    </sheetView>
  </sheetViews>
  <sheetFormatPr defaultColWidth="9.109375" defaultRowHeight="13.8" x14ac:dyDescent="0.25"/>
  <cols>
    <col min="1" max="2" width="9.109375" style="2"/>
    <col min="3" max="3" width="10.44140625" style="2" customWidth="1"/>
    <col min="4" max="4" width="23.33203125" style="2" customWidth="1"/>
    <col min="5" max="5" width="24" style="2" customWidth="1"/>
    <col min="6" max="6" width="27.6640625" style="2" bestFit="1" customWidth="1"/>
    <col min="7" max="7" width="11.44140625" style="2" customWidth="1"/>
    <col min="8" max="8" width="9.5546875" style="2" bestFit="1" customWidth="1"/>
    <col min="9" max="9" width="10.6640625" style="2" bestFit="1" customWidth="1"/>
    <col min="10" max="11" width="9.5546875" style="2" bestFit="1" customWidth="1"/>
    <col min="12" max="12" width="17.109375" style="2" bestFit="1" customWidth="1"/>
    <col min="13" max="13" width="17.6640625" style="2" bestFit="1" customWidth="1"/>
    <col min="14" max="16" width="18.109375" style="2" bestFit="1" customWidth="1"/>
    <col min="17" max="16384" width="9.109375" style="2"/>
  </cols>
  <sheetData>
    <row r="2" spans="4:16" ht="14.4" thickBot="1" x14ac:dyDescent="0.3"/>
    <row r="3" spans="4:16" ht="14.4" customHeight="1" x14ac:dyDescent="0.25">
      <c r="D3" s="111" t="s">
        <v>30</v>
      </c>
      <c r="E3" s="112"/>
      <c r="F3" s="112"/>
      <c r="G3" s="112"/>
      <c r="H3" s="112"/>
      <c r="I3" s="112"/>
      <c r="J3" s="112"/>
      <c r="K3" s="112"/>
      <c r="L3" s="39"/>
      <c r="M3" s="39"/>
      <c r="N3" s="39"/>
      <c r="O3" s="39"/>
      <c r="P3" s="40"/>
    </row>
    <row r="4" spans="4:16" ht="14.4" customHeight="1" thickBot="1" x14ac:dyDescent="0.3">
      <c r="D4" s="113"/>
      <c r="E4" s="114"/>
      <c r="F4" s="114"/>
      <c r="G4" s="115"/>
      <c r="H4" s="114"/>
      <c r="I4" s="114"/>
      <c r="J4" s="114"/>
      <c r="K4" s="114"/>
      <c r="L4" s="41"/>
      <c r="M4" s="41"/>
      <c r="N4" s="41"/>
      <c r="O4" s="41"/>
      <c r="P4" s="42"/>
    </row>
    <row r="5" spans="4:16" ht="14.4" thickBot="1" x14ac:dyDescent="0.3">
      <c r="D5" s="3" t="s">
        <v>34</v>
      </c>
      <c r="E5" s="4" t="s">
        <v>32</v>
      </c>
      <c r="F5" s="5" t="s">
        <v>31</v>
      </c>
      <c r="G5" s="56"/>
      <c r="H5" s="118" t="s">
        <v>35</v>
      </c>
      <c r="I5" s="119"/>
      <c r="J5" s="119"/>
      <c r="K5" s="119"/>
      <c r="L5" s="115"/>
      <c r="M5" s="115"/>
      <c r="N5" s="115"/>
      <c r="O5" s="115"/>
      <c r="P5" s="115"/>
    </row>
    <row r="6" spans="4:16" x14ac:dyDescent="0.25">
      <c r="D6" s="54" t="s">
        <v>39</v>
      </c>
      <c r="E6" s="46" t="s">
        <v>28</v>
      </c>
      <c r="F6" s="58" t="s">
        <v>1</v>
      </c>
      <c r="G6" s="60">
        <v>2023</v>
      </c>
      <c r="H6" s="59">
        <v>2022</v>
      </c>
      <c r="I6" s="22">
        <v>2021</v>
      </c>
      <c r="J6" s="22">
        <v>2020</v>
      </c>
      <c r="K6" s="18">
        <v>2019</v>
      </c>
      <c r="L6" s="26"/>
      <c r="M6" s="27"/>
      <c r="N6" s="27"/>
      <c r="O6" s="26"/>
      <c r="P6" s="26"/>
    </row>
    <row r="7" spans="4:16" ht="14.4" x14ac:dyDescent="0.3">
      <c r="D7" s="120" t="s">
        <v>37</v>
      </c>
      <c r="E7" s="117" t="s">
        <v>46</v>
      </c>
      <c r="F7" s="6" t="s">
        <v>3</v>
      </c>
      <c r="G7" s="64">
        <v>37543</v>
      </c>
      <c r="H7" s="65">
        <v>31960</v>
      </c>
      <c r="I7" s="66">
        <v>24980</v>
      </c>
      <c r="J7" s="67">
        <v>21318</v>
      </c>
      <c r="K7" s="67">
        <v>19463</v>
      </c>
      <c r="L7" s="25"/>
      <c r="M7" s="28"/>
      <c r="N7" s="29"/>
      <c r="O7" s="28"/>
      <c r="P7" s="28"/>
    </row>
    <row r="8" spans="4:16" ht="14.4" x14ac:dyDescent="0.3">
      <c r="D8" s="121"/>
      <c r="E8" s="117"/>
      <c r="F8" s="6" t="s">
        <v>4</v>
      </c>
      <c r="G8" s="64">
        <v>45811</v>
      </c>
      <c r="H8" s="67">
        <v>44351</v>
      </c>
      <c r="I8" s="67">
        <v>37414</v>
      </c>
      <c r="J8" s="66">
        <v>26617</v>
      </c>
      <c r="K8" s="67">
        <v>24384</v>
      </c>
      <c r="M8" s="28"/>
      <c r="N8" s="29"/>
      <c r="O8" s="28"/>
      <c r="P8" s="28"/>
    </row>
    <row r="9" spans="4:16" ht="15" customHeight="1" x14ac:dyDescent="0.25">
      <c r="D9" s="121"/>
      <c r="E9" s="117"/>
      <c r="F9" s="9" t="s">
        <v>12</v>
      </c>
      <c r="G9" s="74">
        <f>G7/G8</f>
        <v>0.81951932941869854</v>
      </c>
      <c r="H9" s="74">
        <f>H7/H8</f>
        <v>0.72061509323352346</v>
      </c>
      <c r="I9" s="74">
        <f>I7/I8</f>
        <v>0.66766451061100118</v>
      </c>
      <c r="J9" s="74">
        <f>J7/J8</f>
        <v>0.80091670736747189</v>
      </c>
      <c r="K9" s="74">
        <f>K7/K8</f>
        <v>0.79818733595800528</v>
      </c>
      <c r="L9" s="30"/>
      <c r="M9" s="30"/>
      <c r="N9" s="31"/>
      <c r="O9" s="31"/>
      <c r="P9" s="31"/>
    </row>
    <row r="10" spans="4:16" ht="15" customHeight="1" x14ac:dyDescent="0.25">
      <c r="D10" s="124" t="s">
        <v>62</v>
      </c>
      <c r="E10" s="127" t="s">
        <v>63</v>
      </c>
      <c r="F10" s="9"/>
      <c r="I10" s="10"/>
      <c r="J10" s="10"/>
      <c r="K10" s="10"/>
      <c r="M10" s="31"/>
      <c r="N10" s="31"/>
      <c r="O10" s="31"/>
      <c r="P10" s="31"/>
    </row>
    <row r="11" spans="4:16" ht="15" customHeight="1" x14ac:dyDescent="0.3">
      <c r="D11" s="125"/>
      <c r="E11" s="128"/>
      <c r="F11" s="6" t="s">
        <v>64</v>
      </c>
      <c r="G11" s="64">
        <v>8193</v>
      </c>
      <c r="H11" s="67">
        <v>3757</v>
      </c>
      <c r="I11" s="68">
        <v>1056</v>
      </c>
      <c r="J11" s="64">
        <v>5162</v>
      </c>
      <c r="K11" s="68">
        <v>2924</v>
      </c>
      <c r="M11" s="32"/>
      <c r="N11" s="32"/>
      <c r="O11" s="32"/>
      <c r="P11" s="32"/>
    </row>
    <row r="12" spans="4:16" ht="15" customHeight="1" x14ac:dyDescent="0.25">
      <c r="D12" s="125"/>
      <c r="E12" s="128"/>
      <c r="F12" s="6" t="str">
        <f>F8</f>
        <v>Total Revenue</v>
      </c>
      <c r="G12" s="67">
        <f>G8</f>
        <v>45811</v>
      </c>
      <c r="H12" s="67">
        <f>H8</f>
        <v>44351</v>
      </c>
      <c r="I12" s="67">
        <f t="shared" ref="I12:K12" si="0">I8</f>
        <v>37414</v>
      </c>
      <c r="J12" s="67">
        <f t="shared" si="0"/>
        <v>26617</v>
      </c>
      <c r="K12" s="67">
        <f t="shared" si="0"/>
        <v>24384</v>
      </c>
      <c r="L12" s="25"/>
      <c r="M12" s="25"/>
      <c r="N12" s="25"/>
      <c r="O12" s="25"/>
      <c r="P12" s="25"/>
    </row>
    <row r="13" spans="4:16" ht="15" customHeight="1" x14ac:dyDescent="0.25">
      <c r="D13" s="126"/>
      <c r="E13" s="129"/>
      <c r="F13" s="9" t="str">
        <f>D10</f>
        <v>Operating profit margin</v>
      </c>
      <c r="G13" s="72">
        <f>G11/G12</f>
        <v>0.17884350920084696</v>
      </c>
      <c r="H13" s="72">
        <f>H11/H12</f>
        <v>8.471060404500462E-2</v>
      </c>
      <c r="I13" s="73">
        <f t="shared" ref="I13:K13" si="1">I11/I12</f>
        <v>2.8224728711177635E-2</v>
      </c>
      <c r="J13" s="72">
        <f t="shared" si="1"/>
        <v>0.19393620618401775</v>
      </c>
      <c r="K13" s="72">
        <f t="shared" si="1"/>
        <v>0.11991469816272966</v>
      </c>
      <c r="L13" s="33"/>
      <c r="M13" s="33"/>
      <c r="N13" s="33"/>
      <c r="O13" s="33"/>
      <c r="P13" s="33"/>
    </row>
    <row r="14" spans="4:16" ht="15.75" customHeight="1" x14ac:dyDescent="0.3">
      <c r="D14" s="120" t="s">
        <v>58</v>
      </c>
      <c r="E14" s="117" t="s">
        <v>45</v>
      </c>
      <c r="F14" s="6" t="s">
        <v>11</v>
      </c>
      <c r="G14" s="64">
        <v>5961</v>
      </c>
      <c r="H14" s="8">
        <v>3293</v>
      </c>
      <c r="I14" s="70">
        <v>115</v>
      </c>
      <c r="J14" s="70">
        <v>3144</v>
      </c>
      <c r="K14" s="71">
        <v>1227</v>
      </c>
      <c r="M14" s="29"/>
      <c r="N14" s="29"/>
      <c r="O14" s="28"/>
      <c r="P14" s="28"/>
    </row>
    <row r="15" spans="4:16" x14ac:dyDescent="0.25">
      <c r="D15" s="121"/>
      <c r="E15" s="117"/>
      <c r="F15" s="6" t="s">
        <v>4</v>
      </c>
      <c r="G15" s="7">
        <f>G8</f>
        <v>45811</v>
      </c>
      <c r="H15" s="7">
        <f>H8</f>
        <v>44351</v>
      </c>
      <c r="I15" s="14">
        <f t="shared" ref="I15:K15" si="2">I8</f>
        <v>37414</v>
      </c>
      <c r="J15" s="14">
        <f t="shared" si="2"/>
        <v>26617</v>
      </c>
      <c r="K15" s="14">
        <f t="shared" si="2"/>
        <v>24384</v>
      </c>
      <c r="M15" s="28"/>
      <c r="N15" s="28"/>
      <c r="O15" s="28"/>
      <c r="P15" s="28"/>
    </row>
    <row r="16" spans="4:16" ht="14.4" thickBot="1" x14ac:dyDescent="0.3">
      <c r="D16" s="122"/>
      <c r="E16" s="123"/>
      <c r="F16" s="11" t="s">
        <v>13</v>
      </c>
      <c r="G16" s="69">
        <f>G14/G15</f>
        <v>0.13012158651852176</v>
      </c>
      <c r="H16" s="69">
        <f>H14/H15</f>
        <v>7.4248607697684377E-2</v>
      </c>
      <c r="I16" s="69">
        <f>I14/I15</f>
        <v>3.0737157213877159E-3</v>
      </c>
      <c r="J16" s="69">
        <f>J14/J15</f>
        <v>0.11811999849720103</v>
      </c>
      <c r="K16" s="69">
        <f>K14/K15</f>
        <v>5.031988188976378E-2</v>
      </c>
      <c r="L16" s="30"/>
      <c r="M16" s="30"/>
      <c r="N16" s="30"/>
      <c r="O16" s="30"/>
      <c r="P16" s="30"/>
    </row>
    <row r="17" spans="4:16" ht="15.75" customHeight="1" thickBot="1" x14ac:dyDescent="0.3">
      <c r="D17" s="12"/>
      <c r="E17" s="13"/>
    </row>
    <row r="18" spans="4:16" x14ac:dyDescent="0.25">
      <c r="D18" s="45" t="s">
        <v>56</v>
      </c>
      <c r="E18" s="46" t="s">
        <v>28</v>
      </c>
      <c r="F18" s="47" t="s">
        <v>1</v>
      </c>
      <c r="G18" s="19">
        <v>2023</v>
      </c>
      <c r="H18" s="19">
        <v>2022</v>
      </c>
      <c r="I18" s="19">
        <v>2021</v>
      </c>
      <c r="J18" s="19">
        <v>2020</v>
      </c>
      <c r="K18" s="20">
        <v>2019</v>
      </c>
      <c r="L18" s="26"/>
      <c r="M18" s="27"/>
      <c r="N18" s="27"/>
      <c r="O18" s="26"/>
      <c r="P18" s="26"/>
    </row>
    <row r="19" spans="4:16" ht="15.75" customHeight="1" x14ac:dyDescent="0.3">
      <c r="D19" s="138" t="s">
        <v>38</v>
      </c>
      <c r="E19" s="135" t="s">
        <v>27</v>
      </c>
      <c r="F19" s="8" t="s">
        <v>47</v>
      </c>
      <c r="G19" s="64">
        <v>25054</v>
      </c>
      <c r="H19" s="8">
        <v>22593</v>
      </c>
      <c r="I19" s="44">
        <v>26244</v>
      </c>
      <c r="J19" s="44">
        <v>19544</v>
      </c>
      <c r="K19" s="14">
        <v>15563</v>
      </c>
      <c r="L19" s="25"/>
      <c r="M19" s="29"/>
      <c r="N19" s="29"/>
      <c r="O19" s="28"/>
      <c r="P19" s="28"/>
    </row>
    <row r="20" spans="4:16" ht="14.4" x14ac:dyDescent="0.3">
      <c r="D20" s="139"/>
      <c r="E20" s="136"/>
      <c r="F20" s="8" t="s">
        <v>48</v>
      </c>
      <c r="G20" s="64">
        <v>30542</v>
      </c>
      <c r="H20" s="8">
        <v>26293</v>
      </c>
      <c r="I20" s="44">
        <v>22594</v>
      </c>
      <c r="J20" s="44">
        <v>20307</v>
      </c>
      <c r="K20" s="14">
        <v>18117</v>
      </c>
      <c r="L20" s="25"/>
      <c r="M20" s="29"/>
      <c r="N20" s="29"/>
      <c r="O20" s="28"/>
      <c r="P20" s="28"/>
    </row>
    <row r="21" spans="4:16" x14ac:dyDescent="0.25">
      <c r="D21" s="139"/>
      <c r="E21" s="140"/>
      <c r="F21" s="43" t="s">
        <v>49</v>
      </c>
      <c r="G21" s="75">
        <f t="shared" ref="G21" si="3">G19/G20</f>
        <v>0.82031301159059655</v>
      </c>
      <c r="H21" s="75">
        <f t="shared" ref="H21:K21" si="4">H19/H20</f>
        <v>0.85927813486479288</v>
      </c>
      <c r="I21" s="75">
        <f t="shared" si="4"/>
        <v>1.1615473134460477</v>
      </c>
      <c r="J21" s="75">
        <f t="shared" si="4"/>
        <v>0.96242674939675976</v>
      </c>
      <c r="K21" s="75">
        <f t="shared" si="4"/>
        <v>0.85902743279792459</v>
      </c>
      <c r="L21" s="34"/>
      <c r="M21" s="34"/>
      <c r="N21" s="34"/>
      <c r="O21" s="34"/>
      <c r="P21" s="34"/>
    </row>
    <row r="22" spans="4:16" x14ac:dyDescent="0.25">
      <c r="D22" s="138" t="s">
        <v>40</v>
      </c>
      <c r="E22" s="131" t="s">
        <v>44</v>
      </c>
      <c r="F22" s="6" t="s">
        <v>50</v>
      </c>
      <c r="G22" s="8">
        <f t="shared" ref="G22" si="5">G19</f>
        <v>25054</v>
      </c>
      <c r="H22" s="8">
        <f t="shared" ref="H22:K22" si="6">H19</f>
        <v>22593</v>
      </c>
      <c r="I22" s="44">
        <f t="shared" si="6"/>
        <v>26244</v>
      </c>
      <c r="J22" s="44">
        <f t="shared" si="6"/>
        <v>19544</v>
      </c>
      <c r="K22" s="44">
        <f t="shared" si="6"/>
        <v>15563</v>
      </c>
      <c r="L22" s="25"/>
      <c r="M22" s="29"/>
      <c r="N22" s="29"/>
      <c r="O22" s="29"/>
      <c r="P22" s="29"/>
    </row>
    <row r="23" spans="4:16" ht="14.4" x14ac:dyDescent="0.3">
      <c r="D23" s="139"/>
      <c r="E23" s="131"/>
      <c r="F23" s="8" t="s">
        <v>51</v>
      </c>
      <c r="G23" s="64">
        <v>5424</v>
      </c>
      <c r="H23" s="8">
        <v>4699</v>
      </c>
      <c r="I23" s="44">
        <v>8983</v>
      </c>
      <c r="J23" s="44">
        <v>4024</v>
      </c>
      <c r="K23" s="14">
        <v>3193</v>
      </c>
      <c r="M23" s="29"/>
      <c r="N23" s="29"/>
      <c r="O23" s="28"/>
      <c r="P23" s="28"/>
    </row>
    <row r="24" spans="4:16" x14ac:dyDescent="0.25">
      <c r="D24" s="139"/>
      <c r="E24" s="131"/>
      <c r="F24" s="8" t="s">
        <v>48</v>
      </c>
      <c r="G24" s="8">
        <f t="shared" ref="G24" si="7">G20</f>
        <v>30542</v>
      </c>
      <c r="H24" s="8">
        <f t="shared" ref="H24:K24" si="8">H20</f>
        <v>26293</v>
      </c>
      <c r="I24" s="44">
        <f t="shared" si="8"/>
        <v>22594</v>
      </c>
      <c r="J24" s="44">
        <f t="shared" si="8"/>
        <v>20307</v>
      </c>
      <c r="K24" s="44">
        <f t="shared" si="8"/>
        <v>18117</v>
      </c>
      <c r="L24" s="25"/>
      <c r="M24" s="29"/>
      <c r="N24" s="29"/>
      <c r="O24" s="29"/>
      <c r="P24" s="29"/>
    </row>
    <row r="25" spans="4:16" x14ac:dyDescent="0.25">
      <c r="D25" s="141"/>
      <c r="E25" s="135"/>
      <c r="F25" s="61" t="s">
        <v>52</v>
      </c>
      <c r="G25" s="77">
        <f>(G22-G23)/G24</f>
        <v>0.64272149826468472</v>
      </c>
      <c r="H25" s="77">
        <f>(H22-H23)/H24</f>
        <v>0.68056136614307994</v>
      </c>
      <c r="I25" s="77">
        <f>(I22-I23)/I24</f>
        <v>0.76396388421704875</v>
      </c>
      <c r="J25" s="77">
        <f>(J22-J23)/J24</f>
        <v>0.76426847884965776</v>
      </c>
      <c r="K25" s="77">
        <f>(K22-K23)/K24</f>
        <v>0.68278412540707623</v>
      </c>
      <c r="L25" s="35"/>
      <c r="M25" s="35"/>
      <c r="N25" s="35"/>
      <c r="O25" s="35"/>
      <c r="P25" s="35"/>
    </row>
    <row r="26" spans="4:16" ht="14.4" x14ac:dyDescent="0.3">
      <c r="D26" s="130" t="s">
        <v>65</v>
      </c>
      <c r="E26" s="131" t="s">
        <v>66</v>
      </c>
      <c r="F26" s="8" t="s">
        <v>67</v>
      </c>
      <c r="G26" s="64">
        <v>5840</v>
      </c>
      <c r="H26" s="76">
        <v>6166</v>
      </c>
      <c r="I26" s="76">
        <v>6329</v>
      </c>
      <c r="J26" s="64">
        <v>7832</v>
      </c>
      <c r="K26" s="76">
        <v>5369</v>
      </c>
      <c r="L26" s="35"/>
      <c r="M26" s="35"/>
      <c r="N26" s="35"/>
      <c r="O26" s="35"/>
      <c r="P26" s="35"/>
    </row>
    <row r="27" spans="4:16" x14ac:dyDescent="0.25">
      <c r="D27" s="130"/>
      <c r="E27" s="131"/>
      <c r="F27" s="8" t="str">
        <f>F20</f>
        <v xml:space="preserve">"Current Liabilities" </v>
      </c>
      <c r="G27" s="63">
        <f>G24</f>
        <v>30542</v>
      </c>
      <c r="H27" s="63">
        <f t="shared" ref="H27:K27" si="9">H24</f>
        <v>26293</v>
      </c>
      <c r="I27" s="63">
        <f t="shared" si="9"/>
        <v>22594</v>
      </c>
      <c r="J27" s="63">
        <f t="shared" si="9"/>
        <v>20307</v>
      </c>
      <c r="K27" s="63">
        <f t="shared" si="9"/>
        <v>18117</v>
      </c>
      <c r="L27" s="35"/>
      <c r="M27" s="35"/>
      <c r="N27" s="35"/>
      <c r="O27" s="35"/>
      <c r="P27" s="35"/>
    </row>
    <row r="28" spans="4:16" x14ac:dyDescent="0.25">
      <c r="D28" s="8"/>
      <c r="E28" s="131"/>
      <c r="F28" s="43" t="str">
        <f>D26</f>
        <v>Cash  Ratio</v>
      </c>
      <c r="G28" s="77">
        <f>G26/G27</f>
        <v>0.19121210136860717</v>
      </c>
      <c r="H28" s="77">
        <f t="shared" ref="H28:K28" si="10">H26/H27</f>
        <v>0.23451108660099645</v>
      </c>
      <c r="I28" s="77">
        <f t="shared" si="10"/>
        <v>0.28011861556165352</v>
      </c>
      <c r="J28" s="77">
        <f t="shared" si="10"/>
        <v>0.38567981484217267</v>
      </c>
      <c r="K28" s="77">
        <f t="shared" si="10"/>
        <v>0.29635149307280456</v>
      </c>
      <c r="L28" s="35"/>
      <c r="M28" s="35"/>
      <c r="N28" s="35"/>
      <c r="O28" s="35"/>
      <c r="P28" s="35"/>
    </row>
    <row r="29" spans="4:16" x14ac:dyDescent="0.25">
      <c r="D29" s="49" t="s">
        <v>41</v>
      </c>
      <c r="E29" s="62" t="s">
        <v>28</v>
      </c>
      <c r="F29" s="50" t="s">
        <v>1</v>
      </c>
      <c r="G29" s="22">
        <v>2023</v>
      </c>
      <c r="H29" s="22">
        <v>2022</v>
      </c>
      <c r="I29" s="22">
        <v>2021</v>
      </c>
      <c r="J29" s="22">
        <v>2020</v>
      </c>
      <c r="K29" s="18">
        <v>2019</v>
      </c>
      <c r="L29" s="26"/>
      <c r="M29" s="27"/>
      <c r="N29" s="27"/>
      <c r="O29" s="26"/>
      <c r="P29" s="26"/>
    </row>
    <row r="30" spans="4:16" ht="15.75" customHeight="1" x14ac:dyDescent="0.25">
      <c r="D30" s="116" t="s">
        <v>42</v>
      </c>
      <c r="E30" s="117" t="s">
        <v>43</v>
      </c>
      <c r="F30" s="24" t="s">
        <v>53</v>
      </c>
      <c r="G30" s="7">
        <f t="shared" ref="G30" si="11">G8</f>
        <v>45811</v>
      </c>
      <c r="H30" s="7">
        <f>H8</f>
        <v>44351</v>
      </c>
      <c r="I30" s="14">
        <f>I8</f>
        <v>37414</v>
      </c>
      <c r="J30" s="14">
        <f>J8</f>
        <v>26617</v>
      </c>
      <c r="K30" s="14">
        <f>K8</f>
        <v>24384</v>
      </c>
      <c r="M30" s="28"/>
      <c r="N30" s="28"/>
      <c r="O30" s="28"/>
      <c r="P30" s="28"/>
    </row>
    <row r="31" spans="4:16" ht="14.4" x14ac:dyDescent="0.3">
      <c r="D31" s="116"/>
      <c r="E31" s="117"/>
      <c r="F31" s="24" t="s">
        <v>54</v>
      </c>
      <c r="G31" s="64">
        <v>101119</v>
      </c>
      <c r="H31" s="8">
        <v>96483</v>
      </c>
      <c r="I31" s="44">
        <v>105363</v>
      </c>
      <c r="J31" s="44">
        <v>66729</v>
      </c>
      <c r="K31" s="14">
        <v>61377</v>
      </c>
      <c r="M31" s="29"/>
      <c r="N31" s="29"/>
      <c r="O31" s="28"/>
      <c r="P31" s="28"/>
    </row>
    <row r="32" spans="4:16" x14ac:dyDescent="0.25">
      <c r="D32" s="116"/>
      <c r="E32" s="117"/>
      <c r="F32" s="51" t="s">
        <v>55</v>
      </c>
      <c r="G32" s="77">
        <f>G30/G31</f>
        <v>0.45304047706167982</v>
      </c>
      <c r="H32" s="77">
        <f>H30/H31</f>
        <v>0.4596768342609579</v>
      </c>
      <c r="I32" s="77">
        <f>I30/I31</f>
        <v>0.35509619126258746</v>
      </c>
      <c r="J32" s="77">
        <f>J30/J31</f>
        <v>0.39888204528765603</v>
      </c>
      <c r="K32" s="77">
        <f>K30/K31</f>
        <v>0.39728236961728336</v>
      </c>
      <c r="L32" s="35"/>
      <c r="M32" s="35"/>
      <c r="N32" s="35"/>
      <c r="O32" s="35"/>
      <c r="P32" s="35"/>
    </row>
    <row r="33" spans="4:16" x14ac:dyDescent="0.25">
      <c r="D33" s="116" t="s">
        <v>68</v>
      </c>
      <c r="E33" s="52"/>
      <c r="F33" s="51"/>
      <c r="G33" s="8"/>
      <c r="H33" s="8"/>
      <c r="I33" s="23"/>
      <c r="J33" s="23"/>
      <c r="K33" s="23"/>
      <c r="M33" s="35"/>
      <c r="N33" s="35"/>
      <c r="O33" s="35"/>
      <c r="P33" s="35"/>
    </row>
    <row r="34" spans="4:16" x14ac:dyDescent="0.25">
      <c r="D34" s="116"/>
      <c r="E34" s="117" t="s">
        <v>69</v>
      </c>
      <c r="F34" s="24" t="str">
        <f>F30</f>
        <v xml:space="preserve">"Revenue" </v>
      </c>
      <c r="G34" s="7">
        <f>G30</f>
        <v>45811</v>
      </c>
      <c r="H34" s="7">
        <f t="shared" ref="H34:K34" si="12">H30</f>
        <v>44351</v>
      </c>
      <c r="I34" s="7">
        <f t="shared" si="12"/>
        <v>37414</v>
      </c>
      <c r="J34" s="7">
        <f t="shared" si="12"/>
        <v>26617</v>
      </c>
      <c r="K34" s="7">
        <f t="shared" si="12"/>
        <v>24384</v>
      </c>
    </row>
    <row r="35" spans="4:16" ht="14.4" x14ac:dyDescent="0.3">
      <c r="D35" s="116"/>
      <c r="E35" s="117"/>
      <c r="F35" s="24" t="s">
        <v>74</v>
      </c>
      <c r="G35" s="64">
        <v>9402</v>
      </c>
      <c r="H35" s="7">
        <v>8507</v>
      </c>
      <c r="I35" s="78">
        <v>9183</v>
      </c>
      <c r="J35" s="64">
        <v>8251</v>
      </c>
      <c r="K35" s="78">
        <v>7688</v>
      </c>
      <c r="M35" s="36"/>
      <c r="N35" s="36"/>
      <c r="O35" s="36"/>
      <c r="P35" s="36"/>
    </row>
    <row r="36" spans="4:16" ht="14.4" thickBot="1" x14ac:dyDescent="0.3">
      <c r="D36" s="116"/>
      <c r="E36" s="117"/>
      <c r="F36" s="51" t="str">
        <f>D33</f>
        <v xml:space="preserve"> Fixed asset turnover</v>
      </c>
      <c r="G36" s="79">
        <f>G34/G35*365</f>
        <v>1778.4529887258029</v>
      </c>
      <c r="H36" s="79">
        <f>H34/H35*365</f>
        <v>1902.9170095215704</v>
      </c>
      <c r="I36" s="79">
        <f>I34/I35*365</f>
        <v>1487.1076990090385</v>
      </c>
      <c r="J36" s="79">
        <f t="shared" ref="J36:K36" si="13">J34/J35*365</f>
        <v>1177.4578838928614</v>
      </c>
      <c r="K36" s="79">
        <f t="shared" si="13"/>
        <v>1157.6690946930282</v>
      </c>
      <c r="L36" s="35"/>
      <c r="M36" s="35"/>
      <c r="N36" s="35"/>
      <c r="O36" s="35"/>
      <c r="P36" s="35"/>
    </row>
    <row r="37" spans="4:16" x14ac:dyDescent="0.25">
      <c r="D37" s="57" t="s">
        <v>59</v>
      </c>
      <c r="E37" s="46" t="s">
        <v>28</v>
      </c>
      <c r="F37" s="47" t="s">
        <v>1</v>
      </c>
      <c r="G37" s="19">
        <v>2023</v>
      </c>
      <c r="H37" s="19">
        <v>2022</v>
      </c>
      <c r="I37" s="19">
        <v>2021</v>
      </c>
      <c r="J37" s="19">
        <v>2020</v>
      </c>
      <c r="K37" s="20">
        <v>2019</v>
      </c>
      <c r="L37" s="26"/>
      <c r="M37" s="27"/>
      <c r="N37" s="27"/>
      <c r="O37" s="26"/>
      <c r="P37" s="26"/>
    </row>
    <row r="38" spans="4:16" ht="15.75" customHeight="1" x14ac:dyDescent="0.3">
      <c r="D38" s="132" t="s">
        <v>60</v>
      </c>
      <c r="E38" s="135" t="s">
        <v>70</v>
      </c>
      <c r="F38" s="8" t="s">
        <v>72</v>
      </c>
      <c r="G38" s="64">
        <v>31411</v>
      </c>
      <c r="H38" s="7">
        <v>33132</v>
      </c>
      <c r="I38" s="7">
        <v>43482</v>
      </c>
      <c r="J38" s="7">
        <v>30784</v>
      </c>
      <c r="K38" s="7">
        <v>28664</v>
      </c>
      <c r="L38" s="25"/>
      <c r="M38" s="25"/>
      <c r="N38" s="25"/>
      <c r="O38" s="25"/>
      <c r="P38" s="25"/>
    </row>
    <row r="39" spans="4:16" ht="14.25" customHeight="1" x14ac:dyDescent="0.3">
      <c r="D39" s="133"/>
      <c r="E39" s="136"/>
      <c r="F39" s="8" t="s">
        <v>73</v>
      </c>
      <c r="G39" s="64">
        <v>39166</v>
      </c>
      <c r="H39" s="64">
        <v>37058</v>
      </c>
      <c r="I39" s="64">
        <v>39287</v>
      </c>
      <c r="J39" s="64">
        <v>15638</v>
      </c>
      <c r="K39" s="64">
        <v>14596</v>
      </c>
      <c r="L39" s="25"/>
      <c r="M39" s="29"/>
      <c r="N39" s="29"/>
      <c r="O39" s="28"/>
      <c r="P39" s="28"/>
    </row>
    <row r="40" spans="4:16" x14ac:dyDescent="0.25">
      <c r="D40" s="133"/>
      <c r="E40" s="136"/>
      <c r="F40" s="43" t="s">
        <v>10</v>
      </c>
      <c r="G40" s="75">
        <f>G38/G39</f>
        <v>0.80199662972986774</v>
      </c>
      <c r="H40" s="75">
        <f>H38/H39</f>
        <v>0.89405796319283282</v>
      </c>
      <c r="I40" s="75">
        <f>I38/I39</f>
        <v>1.1067783236184998</v>
      </c>
      <c r="J40" s="75">
        <f>J38/J39</f>
        <v>1.9685381762373706</v>
      </c>
      <c r="K40" s="75">
        <f>K38/K39</f>
        <v>1.963825705672787</v>
      </c>
    </row>
    <row r="41" spans="4:16" x14ac:dyDescent="0.25">
      <c r="D41" s="132" t="s">
        <v>61</v>
      </c>
      <c r="E41" s="135" t="s">
        <v>71</v>
      </c>
      <c r="F41" s="43"/>
      <c r="G41" s="8"/>
      <c r="H41" s="8"/>
      <c r="I41" s="21"/>
      <c r="J41" s="21"/>
      <c r="K41" s="21"/>
      <c r="M41" s="34"/>
      <c r="N41" s="34"/>
      <c r="O41" s="34"/>
      <c r="P41" s="34"/>
    </row>
    <row r="42" spans="4:16" x14ac:dyDescent="0.25">
      <c r="D42" s="133"/>
      <c r="E42" s="136"/>
      <c r="F42" s="8" t="s">
        <v>72</v>
      </c>
      <c r="G42" s="7">
        <f>G38</f>
        <v>31411</v>
      </c>
      <c r="H42" s="7">
        <f t="shared" ref="H42:K42" si="14">H38</f>
        <v>33132</v>
      </c>
      <c r="I42" s="7">
        <f t="shared" si="14"/>
        <v>43482</v>
      </c>
      <c r="J42" s="7">
        <f t="shared" si="14"/>
        <v>30784</v>
      </c>
      <c r="K42" s="7">
        <f t="shared" si="14"/>
        <v>28664</v>
      </c>
    </row>
    <row r="43" spans="4:16" x14ac:dyDescent="0.25">
      <c r="D43" s="133"/>
      <c r="E43" s="136"/>
      <c r="F43" s="8" t="s">
        <v>73</v>
      </c>
      <c r="G43" s="7">
        <f>G39</f>
        <v>39166</v>
      </c>
      <c r="H43" s="7">
        <f t="shared" ref="H43:K43" si="15">H39</f>
        <v>37058</v>
      </c>
      <c r="I43" s="7">
        <f t="shared" si="15"/>
        <v>39287</v>
      </c>
      <c r="J43" s="7">
        <f t="shared" si="15"/>
        <v>15638</v>
      </c>
      <c r="K43" s="7">
        <f t="shared" si="15"/>
        <v>14596</v>
      </c>
      <c r="L43" s="37"/>
      <c r="M43" s="38"/>
      <c r="N43" s="38"/>
      <c r="O43" s="38"/>
      <c r="P43" s="38"/>
    </row>
    <row r="44" spans="4:16" ht="14.4" thickBot="1" x14ac:dyDescent="0.3">
      <c r="D44" s="134"/>
      <c r="E44" s="137"/>
      <c r="F44" s="48" t="str">
        <f>D41</f>
        <v xml:space="preserve"> Debt to capital</v>
      </c>
      <c r="G44" s="53">
        <f>G42/(G43+G42)</f>
        <v>0.44506000538419033</v>
      </c>
      <c r="H44" s="53">
        <f t="shared" ref="H44:K44" si="16">H42/(H43+H42)</f>
        <v>0.47203305314147315</v>
      </c>
      <c r="I44" s="53">
        <f t="shared" si="16"/>
        <v>0.52534161340598529</v>
      </c>
      <c r="J44" s="53">
        <f t="shared" si="16"/>
        <v>0.66313385894618926</v>
      </c>
      <c r="K44" s="53">
        <f t="shared" si="16"/>
        <v>0.66259824318076743</v>
      </c>
      <c r="L44" s="34"/>
      <c r="M44" s="34"/>
      <c r="N44" s="34"/>
      <c r="O44" s="34"/>
      <c r="P44" s="34"/>
    </row>
    <row r="47" spans="4:16" x14ac:dyDescent="0.25">
      <c r="L47" s="25"/>
      <c r="M47" s="25"/>
      <c r="N47" s="25"/>
      <c r="O47" s="25"/>
      <c r="P47" s="25"/>
    </row>
    <row r="50" spans="4:11" x14ac:dyDescent="0.25">
      <c r="D50" s="25"/>
      <c r="E50" s="25"/>
      <c r="F50" s="25"/>
      <c r="G50" s="25"/>
      <c r="H50" s="25"/>
      <c r="I50" s="25"/>
    </row>
    <row r="51" spans="4:11" x14ac:dyDescent="0.25">
      <c r="D51" s="25"/>
      <c r="E51" s="25"/>
      <c r="F51" s="25"/>
      <c r="G51" s="25"/>
      <c r="H51" s="25"/>
      <c r="I51" s="25"/>
    </row>
    <row r="52" spans="4:11" x14ac:dyDescent="0.25">
      <c r="D52" s="25"/>
      <c r="E52" s="25"/>
      <c r="F52" s="25"/>
      <c r="G52" s="25"/>
      <c r="H52" s="25"/>
      <c r="I52" s="25"/>
    </row>
    <row r="54" spans="4:11" ht="14.4" thickBot="1" x14ac:dyDescent="0.3">
      <c r="D54" s="38"/>
      <c r="E54" s="38"/>
      <c r="F54" s="38"/>
      <c r="G54" s="38"/>
      <c r="H54" s="38"/>
      <c r="I54" s="38"/>
      <c r="J54" s="17"/>
      <c r="K54" s="1"/>
    </row>
    <row r="55" spans="4:11" ht="14.4" thickBot="1" x14ac:dyDescent="0.3">
      <c r="D55" s="55"/>
      <c r="E55" s="55"/>
      <c r="F55" s="55"/>
      <c r="G55" s="55"/>
      <c r="H55" s="55"/>
      <c r="I55" s="55"/>
      <c r="J55" s="15"/>
      <c r="K55" s="15"/>
    </row>
    <row r="56" spans="4:11" x14ac:dyDescent="0.25">
      <c r="D56" s="25"/>
      <c r="E56" s="25"/>
      <c r="F56" s="25"/>
      <c r="G56" s="25"/>
      <c r="H56" s="25"/>
      <c r="I56" s="25"/>
    </row>
    <row r="71" spans="4:23" x14ac:dyDescent="0.25"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4:23" x14ac:dyDescent="0.25"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4:23" x14ac:dyDescent="0.25"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4:23" x14ac:dyDescent="0.25"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4:23" x14ac:dyDescent="0.25"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4:23" x14ac:dyDescent="0.25"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4:23" x14ac:dyDescent="0.25"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spans="4:23" x14ac:dyDescent="0.25"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spans="4:23" x14ac:dyDescent="0.25"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spans="4:23" x14ac:dyDescent="0.25"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spans="4:23" x14ac:dyDescent="0.25"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4:23" x14ac:dyDescent="0.25"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4:23" x14ac:dyDescent="0.25"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spans="4:23" x14ac:dyDescent="0.25"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spans="4:23" x14ac:dyDescent="0.25"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4:23" x14ac:dyDescent="0.25"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4:23" x14ac:dyDescent="0.25"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4:23" x14ac:dyDescent="0.25"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4:23" x14ac:dyDescent="0.25"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spans="4:23" x14ac:dyDescent="0.25"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spans="4:23" x14ac:dyDescent="0.25"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spans="4:23" x14ac:dyDescent="0.25"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spans="4:23" x14ac:dyDescent="0.25"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spans="4:23" x14ac:dyDescent="0.25"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spans="4:23" x14ac:dyDescent="0.25"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spans="4:23" x14ac:dyDescent="0.25"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spans="4:23" x14ac:dyDescent="0.25"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spans="4:23" x14ac:dyDescent="0.25"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spans="4:23" x14ac:dyDescent="0.25"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spans="4:23" x14ac:dyDescent="0.25"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spans="4:23" x14ac:dyDescent="0.25"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4:23" x14ac:dyDescent="0.25"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spans="4:23" x14ac:dyDescent="0.25"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spans="4:23" x14ac:dyDescent="0.25"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4:23" x14ac:dyDescent="0.25"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spans="4:23" x14ac:dyDescent="0.25"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spans="4:23" x14ac:dyDescent="0.25"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4:23" x14ac:dyDescent="0.25"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4:23" x14ac:dyDescent="0.25"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4:23" x14ac:dyDescent="0.25"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4:23" x14ac:dyDescent="0.25"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spans="4:23" x14ac:dyDescent="0.25"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spans="4:23" x14ac:dyDescent="0.25"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spans="4:23" x14ac:dyDescent="0.25"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spans="4:23" x14ac:dyDescent="0.25"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spans="4:23" x14ac:dyDescent="0.25"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spans="4:23" x14ac:dyDescent="0.25"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spans="4:23" x14ac:dyDescent="0.25"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spans="4:23" x14ac:dyDescent="0.25"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spans="4:23" x14ac:dyDescent="0.25"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spans="4:23" x14ac:dyDescent="0.25"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spans="4:23" x14ac:dyDescent="0.25"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spans="4:23" x14ac:dyDescent="0.25"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spans="4:23" x14ac:dyDescent="0.25"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</sheetData>
  <mergeCells count="23">
    <mergeCell ref="D41:D44"/>
    <mergeCell ref="E41:E44"/>
    <mergeCell ref="E38:E40"/>
    <mergeCell ref="D38:D40"/>
    <mergeCell ref="L5:P5"/>
    <mergeCell ref="D19:D21"/>
    <mergeCell ref="E19:E21"/>
    <mergeCell ref="D22:D25"/>
    <mergeCell ref="E22:E25"/>
    <mergeCell ref="D33:D36"/>
    <mergeCell ref="E34:E36"/>
    <mergeCell ref="D3:K4"/>
    <mergeCell ref="D30:D32"/>
    <mergeCell ref="E30:E32"/>
    <mergeCell ref="H5:K5"/>
    <mergeCell ref="D7:D9"/>
    <mergeCell ref="E7:E9"/>
    <mergeCell ref="D14:D16"/>
    <mergeCell ref="E14:E16"/>
    <mergeCell ref="D10:D13"/>
    <mergeCell ref="E10:E13"/>
    <mergeCell ref="D26:D27"/>
    <mergeCell ref="E26:E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M57"/>
  <sheetViews>
    <sheetView tabSelected="1" workbookViewId="0">
      <selection activeCell="J3" sqref="J3"/>
    </sheetView>
  </sheetViews>
  <sheetFormatPr defaultColWidth="9.109375" defaultRowHeight="15.6" x14ac:dyDescent="0.3"/>
  <cols>
    <col min="1" max="4" width="9.109375" style="16"/>
    <col min="5" max="5" width="31.33203125" style="80" bestFit="1" customWidth="1"/>
    <col min="6" max="6" width="33.6640625" style="80" bestFit="1" customWidth="1"/>
    <col min="7" max="7" width="16.21875" style="80" customWidth="1"/>
    <col min="8" max="11" width="17.44140625" style="80" customWidth="1"/>
    <col min="12" max="12" width="9.109375" style="80"/>
    <col min="13" max="13" width="9.109375" style="16"/>
    <col min="14" max="16384" width="9.109375" style="80"/>
  </cols>
  <sheetData>
    <row r="5" spans="5:11" s="80" customFormat="1" ht="14.4" customHeight="1" x14ac:dyDescent="0.3">
      <c r="E5" s="145" t="s">
        <v>75</v>
      </c>
      <c r="F5" s="145"/>
      <c r="G5" s="144" t="s">
        <v>36</v>
      </c>
      <c r="H5" s="144"/>
      <c r="I5" s="144"/>
      <c r="J5" s="144"/>
      <c r="K5" s="144"/>
    </row>
    <row r="6" spans="5:11" s="80" customFormat="1" ht="16.2" x14ac:dyDescent="0.3">
      <c r="E6" s="81" t="s">
        <v>0</v>
      </c>
      <c r="F6" s="82" t="s">
        <v>28</v>
      </c>
      <c r="G6" s="83">
        <v>2023</v>
      </c>
      <c r="H6" s="84">
        <v>2022</v>
      </c>
      <c r="I6" s="85">
        <v>2021</v>
      </c>
      <c r="J6" s="85">
        <v>2020</v>
      </c>
      <c r="K6" s="84">
        <v>2019</v>
      </c>
    </row>
    <row r="7" spans="5:11" s="80" customFormat="1" x14ac:dyDescent="0.3">
      <c r="E7" s="142" t="s">
        <v>2</v>
      </c>
      <c r="F7" s="148" t="s">
        <v>77</v>
      </c>
      <c r="G7" s="86">
        <v>21252</v>
      </c>
      <c r="H7" s="87">
        <v>19770</v>
      </c>
      <c r="I7" s="87">
        <v>16533</v>
      </c>
      <c r="J7" s="88">
        <v>16425</v>
      </c>
      <c r="K7" s="87">
        <v>21891</v>
      </c>
    </row>
    <row r="8" spans="5:11" s="80" customFormat="1" x14ac:dyDescent="0.3">
      <c r="E8" s="142"/>
      <c r="F8" s="148"/>
      <c r="G8" s="86">
        <v>30328</v>
      </c>
      <c r="H8" s="87">
        <v>29324</v>
      </c>
      <c r="I8" s="87">
        <v>24696</v>
      </c>
      <c r="J8" s="88">
        <v>24354</v>
      </c>
      <c r="K8" s="87">
        <v>33754</v>
      </c>
    </row>
    <row r="9" spans="5:11" s="80" customFormat="1" ht="16.2" x14ac:dyDescent="0.35">
      <c r="E9" s="142"/>
      <c r="F9" s="148"/>
      <c r="G9" s="89">
        <f>G7/G8</f>
        <v>0.70073859140068584</v>
      </c>
      <c r="H9" s="89">
        <f t="shared" ref="H9:I9" si="0">H7/H8</f>
        <v>0.67419178829627613</v>
      </c>
      <c r="I9" s="89">
        <f t="shared" si="0"/>
        <v>0.66946064139941686</v>
      </c>
      <c r="J9" s="89">
        <f>J7/J8</f>
        <v>0.67442719881744273</v>
      </c>
      <c r="K9" s="89">
        <f>K7/K8</f>
        <v>0.64854535758724896</v>
      </c>
    </row>
    <row r="10" spans="5:11" s="80" customFormat="1" x14ac:dyDescent="0.3">
      <c r="E10" s="142" t="s">
        <v>24</v>
      </c>
      <c r="F10" s="143" t="s">
        <v>25</v>
      </c>
      <c r="G10" s="90">
        <v>4928</v>
      </c>
      <c r="H10" s="87">
        <v>15621</v>
      </c>
      <c r="I10" s="91">
        <v>5096</v>
      </c>
      <c r="J10" s="91">
        <v>6388</v>
      </c>
      <c r="K10" s="91">
        <v>5268</v>
      </c>
    </row>
    <row r="11" spans="5:11" s="80" customFormat="1" x14ac:dyDescent="0.3">
      <c r="E11" s="142"/>
      <c r="F11" s="143"/>
      <c r="G11" s="90">
        <v>12795</v>
      </c>
      <c r="H11" s="87">
        <v>10096</v>
      </c>
      <c r="I11" s="91">
        <v>21342</v>
      </c>
      <c r="J11" s="91">
        <v>20808</v>
      </c>
      <c r="K11" s="91">
        <v>18357</v>
      </c>
    </row>
    <row r="12" spans="5:11" s="80" customFormat="1" x14ac:dyDescent="0.3">
      <c r="E12" s="142"/>
      <c r="F12" s="143"/>
      <c r="G12" s="92"/>
      <c r="H12" s="93"/>
      <c r="I12" s="93"/>
      <c r="J12" s="93"/>
      <c r="K12" s="93"/>
    </row>
    <row r="13" spans="5:11" s="80" customFormat="1" ht="16.2" x14ac:dyDescent="0.35">
      <c r="E13" s="142"/>
      <c r="F13" s="143"/>
      <c r="G13" s="94">
        <f>G10/G11</f>
        <v>0.38515044939429466</v>
      </c>
      <c r="H13" s="95">
        <f>H10/H11</f>
        <v>1.5472464342313788</v>
      </c>
      <c r="I13" s="95">
        <f t="shared" ref="I13:K13" si="1">I10/I11</f>
        <v>0.23877799643894668</v>
      </c>
      <c r="J13" s="95">
        <f t="shared" si="1"/>
        <v>0.30699730872741254</v>
      </c>
      <c r="K13" s="95">
        <f t="shared" si="1"/>
        <v>0.28697499591436509</v>
      </c>
    </row>
    <row r="14" spans="5:11" s="80" customFormat="1" x14ac:dyDescent="0.3">
      <c r="E14" s="142" t="s">
        <v>29</v>
      </c>
      <c r="F14" s="143" t="s">
        <v>78</v>
      </c>
      <c r="G14" s="90">
        <v>5308</v>
      </c>
      <c r="H14" s="87">
        <f>H10</f>
        <v>15621</v>
      </c>
      <c r="I14" s="87">
        <f t="shared" ref="I14:K14" si="2">I10</f>
        <v>5096</v>
      </c>
      <c r="J14" s="87">
        <f t="shared" si="2"/>
        <v>6388</v>
      </c>
      <c r="K14" s="87">
        <f t="shared" si="2"/>
        <v>5268</v>
      </c>
    </row>
    <row r="15" spans="5:11" s="80" customFormat="1" x14ac:dyDescent="0.3">
      <c r="E15" s="142"/>
      <c r="F15" s="143"/>
      <c r="G15" s="90">
        <v>30328</v>
      </c>
      <c r="H15" s="87">
        <f>H8</f>
        <v>29324</v>
      </c>
      <c r="I15" s="87">
        <f>I8</f>
        <v>24696</v>
      </c>
      <c r="J15" s="87">
        <f>J8</f>
        <v>24354</v>
      </c>
      <c r="K15" s="87">
        <f>K8</f>
        <v>33754</v>
      </c>
    </row>
    <row r="16" spans="5:11" s="80" customFormat="1" ht="16.2" x14ac:dyDescent="0.35">
      <c r="E16" s="142"/>
      <c r="F16" s="143"/>
      <c r="G16" s="89">
        <f t="shared" ref="G16:I16" si="3">G14/G15</f>
        <v>0.17501978369823265</v>
      </c>
      <c r="H16" s="89">
        <f t="shared" si="3"/>
        <v>0.53270358750511526</v>
      </c>
      <c r="I16" s="89">
        <f t="shared" si="3"/>
        <v>0.20634920634920634</v>
      </c>
      <c r="J16" s="89">
        <f>J14/J15</f>
        <v>0.26229777449289643</v>
      </c>
      <c r="K16" s="89">
        <f>K14/K15</f>
        <v>0.15607039165728506</v>
      </c>
    </row>
    <row r="17" spans="5:11" s="80" customFormat="1" ht="14.4" customHeight="1" x14ac:dyDescent="0.3">
      <c r="E17" s="145" t="s">
        <v>5</v>
      </c>
      <c r="F17" s="142" t="s">
        <v>28</v>
      </c>
      <c r="G17" s="144" t="s">
        <v>33</v>
      </c>
      <c r="H17" s="144"/>
      <c r="I17" s="144"/>
      <c r="J17" s="144"/>
      <c r="K17" s="144"/>
    </row>
    <row r="18" spans="5:11" s="80" customFormat="1" ht="16.2" x14ac:dyDescent="0.3">
      <c r="E18" s="145"/>
      <c r="F18" s="142"/>
      <c r="G18" s="83">
        <v>2023</v>
      </c>
      <c r="H18" s="84">
        <v>2022</v>
      </c>
      <c r="I18" s="85">
        <v>2021</v>
      </c>
      <c r="J18" s="85">
        <v>2020</v>
      </c>
      <c r="K18" s="84">
        <v>2019</v>
      </c>
    </row>
    <row r="19" spans="5:11" s="80" customFormat="1" x14ac:dyDescent="0.3">
      <c r="E19" s="142" t="s">
        <v>6</v>
      </c>
      <c r="F19" s="146" t="s">
        <v>79</v>
      </c>
      <c r="G19" s="90">
        <v>18644</v>
      </c>
      <c r="H19" s="87">
        <v>20769</v>
      </c>
      <c r="I19" s="88">
        <v>18674</v>
      </c>
      <c r="J19" s="88">
        <v>20247</v>
      </c>
      <c r="K19" s="87">
        <v>19491</v>
      </c>
    </row>
    <row r="20" spans="5:11" s="80" customFormat="1" x14ac:dyDescent="0.3">
      <c r="E20" s="142"/>
      <c r="F20" s="146"/>
      <c r="G20" s="90">
        <v>21068</v>
      </c>
      <c r="H20" s="87">
        <v>22810</v>
      </c>
      <c r="I20" s="88">
        <v>23670</v>
      </c>
      <c r="J20" s="88">
        <v>22148</v>
      </c>
      <c r="K20" s="87">
        <v>24050</v>
      </c>
    </row>
    <row r="21" spans="5:11" s="80" customFormat="1" ht="16.2" x14ac:dyDescent="0.35">
      <c r="E21" s="142"/>
      <c r="F21" s="146"/>
      <c r="G21" s="96">
        <f>G19/G20</f>
        <v>0.88494399088665276</v>
      </c>
      <c r="H21" s="96">
        <f>H19/H20</f>
        <v>0.91052170100832963</v>
      </c>
      <c r="I21" s="96">
        <f>I19/I20</f>
        <v>0.78893113645965351</v>
      </c>
      <c r="J21" s="96">
        <f>J19/J20</f>
        <v>0.91416832219613509</v>
      </c>
      <c r="K21" s="96">
        <f>K19/K20</f>
        <v>0.81043659043659044</v>
      </c>
    </row>
    <row r="22" spans="5:11" s="80" customFormat="1" x14ac:dyDescent="0.3">
      <c r="E22" s="142" t="s">
        <v>57</v>
      </c>
      <c r="F22" s="146" t="s">
        <v>80</v>
      </c>
      <c r="G22" s="90">
        <f>G19</f>
        <v>18644</v>
      </c>
      <c r="H22" s="87">
        <f>H19</f>
        <v>20769</v>
      </c>
      <c r="I22" s="88">
        <f>I19</f>
        <v>18674</v>
      </c>
      <c r="J22" s="88">
        <f>J19</f>
        <v>20247</v>
      </c>
      <c r="K22" s="88">
        <f>K19</f>
        <v>19491</v>
      </c>
    </row>
    <row r="23" spans="5:11" s="80" customFormat="1" x14ac:dyDescent="0.3">
      <c r="E23" s="142"/>
      <c r="F23" s="146"/>
      <c r="G23" s="90">
        <v>5498</v>
      </c>
      <c r="H23" s="87">
        <v>5146</v>
      </c>
      <c r="I23" s="88">
        <v>5783</v>
      </c>
      <c r="J23" s="88">
        <v>5996</v>
      </c>
      <c r="K23" s="87">
        <v>5947</v>
      </c>
    </row>
    <row r="24" spans="5:11" s="80" customFormat="1" x14ac:dyDescent="0.3">
      <c r="E24" s="142"/>
      <c r="F24" s="146"/>
      <c r="G24" s="90">
        <f>G20</f>
        <v>21068</v>
      </c>
      <c r="H24" s="87">
        <f>H20</f>
        <v>22810</v>
      </c>
      <c r="I24" s="88">
        <f>I20</f>
        <v>23670</v>
      </c>
      <c r="J24" s="88">
        <f>J20</f>
        <v>22148</v>
      </c>
      <c r="K24" s="88">
        <f>K20</f>
        <v>24050</v>
      </c>
    </row>
    <row r="25" spans="5:11" s="80" customFormat="1" ht="16.2" x14ac:dyDescent="0.3">
      <c r="E25" s="142"/>
      <c r="F25" s="146"/>
      <c r="G25" s="97">
        <f t="shared" ref="G25:K25" si="4">(G22-G23)/G24</f>
        <v>0.62397949496867289</v>
      </c>
      <c r="H25" s="97">
        <f t="shared" si="4"/>
        <v>0.68491889522139415</v>
      </c>
      <c r="I25" s="97">
        <f t="shared" si="4"/>
        <v>0.54461343472750312</v>
      </c>
      <c r="J25" s="97">
        <f t="shared" si="4"/>
        <v>0.64344410330503887</v>
      </c>
      <c r="K25" s="97">
        <f t="shared" si="4"/>
        <v>0.56316008316008315</v>
      </c>
    </row>
    <row r="26" spans="5:11" s="80" customFormat="1" ht="14.4" customHeight="1" x14ac:dyDescent="0.3">
      <c r="E26" s="145" t="s">
        <v>76</v>
      </c>
      <c r="F26" s="142" t="s">
        <v>28</v>
      </c>
      <c r="G26" s="144" t="s">
        <v>33</v>
      </c>
      <c r="H26" s="144"/>
      <c r="I26" s="144"/>
      <c r="J26" s="144"/>
      <c r="K26" s="144"/>
    </row>
    <row r="27" spans="5:11" s="80" customFormat="1" ht="16.2" x14ac:dyDescent="0.3">
      <c r="E27" s="145"/>
      <c r="F27" s="142"/>
      <c r="G27" s="83">
        <v>2023</v>
      </c>
      <c r="H27" s="84">
        <v>2022</v>
      </c>
      <c r="I27" s="85">
        <v>2021</v>
      </c>
      <c r="J27" s="85">
        <v>2020</v>
      </c>
      <c r="K27" s="84">
        <v>2019</v>
      </c>
    </row>
    <row r="28" spans="5:11" s="80" customFormat="1" x14ac:dyDescent="0.3">
      <c r="E28" s="142" t="s">
        <v>7</v>
      </c>
      <c r="F28" s="143" t="s">
        <v>8</v>
      </c>
      <c r="G28" s="90">
        <f>G8</f>
        <v>30328</v>
      </c>
      <c r="H28" s="87">
        <f>H8</f>
        <v>29324</v>
      </c>
      <c r="I28" s="87">
        <f>I8</f>
        <v>24696</v>
      </c>
      <c r="J28" s="87">
        <f t="shared" ref="J28:K28" si="5">J8</f>
        <v>24354</v>
      </c>
      <c r="K28" s="87">
        <f t="shared" si="5"/>
        <v>33754</v>
      </c>
    </row>
    <row r="29" spans="5:11" s="80" customFormat="1" x14ac:dyDescent="0.3">
      <c r="E29" s="142"/>
      <c r="F29" s="143"/>
      <c r="G29" s="90">
        <v>59005</v>
      </c>
      <c r="H29" s="87">
        <v>60146</v>
      </c>
      <c r="I29" s="88">
        <v>79103</v>
      </c>
      <c r="J29" s="88">
        <v>80431</v>
      </c>
      <c r="K29" s="87">
        <v>79692</v>
      </c>
    </row>
    <row r="30" spans="5:11" s="80" customFormat="1" ht="16.2" x14ac:dyDescent="0.3">
      <c r="E30" s="142"/>
      <c r="F30" s="143"/>
      <c r="G30" s="97">
        <f t="shared" ref="G30:K30" si="6">G28/G29</f>
        <v>0.51399033980171172</v>
      </c>
      <c r="H30" s="97">
        <f t="shared" si="6"/>
        <v>0.48754696904199779</v>
      </c>
      <c r="I30" s="97">
        <f t="shared" si="6"/>
        <v>0.31220054865175784</v>
      </c>
      <c r="J30" s="97">
        <f t="shared" si="6"/>
        <v>0.30279369894692343</v>
      </c>
      <c r="K30" s="97">
        <f t="shared" si="6"/>
        <v>0.42355568940420618</v>
      </c>
    </row>
    <row r="31" spans="5:11" s="80" customFormat="1" x14ac:dyDescent="0.3">
      <c r="E31" s="142" t="s">
        <v>20</v>
      </c>
      <c r="F31" s="143" t="s">
        <v>21</v>
      </c>
      <c r="G31" s="90">
        <f>G23</f>
        <v>5498</v>
      </c>
      <c r="H31" s="87">
        <f>H23</f>
        <v>5146</v>
      </c>
      <c r="I31" s="87">
        <f>I23</f>
        <v>5783</v>
      </c>
      <c r="J31" s="87">
        <f>J23</f>
        <v>5996</v>
      </c>
      <c r="K31" s="87">
        <f>K23</f>
        <v>5947</v>
      </c>
    </row>
    <row r="32" spans="5:11" s="80" customFormat="1" x14ac:dyDescent="0.3">
      <c r="E32" s="142"/>
      <c r="F32" s="143"/>
      <c r="G32" s="90">
        <v>8565</v>
      </c>
      <c r="H32" s="87">
        <v>9554</v>
      </c>
      <c r="I32" s="98">
        <v>8163</v>
      </c>
      <c r="J32" s="98">
        <v>7929</v>
      </c>
      <c r="K32" s="98">
        <v>11863</v>
      </c>
    </row>
    <row r="33" spans="5:12" s="80" customFormat="1" ht="14.25" customHeight="1" x14ac:dyDescent="0.3">
      <c r="E33" s="142"/>
      <c r="F33" s="143"/>
      <c r="G33" s="99">
        <f t="shared" ref="G33:K33" si="7">G31/G32*365</f>
        <v>234.29889083479279</v>
      </c>
      <c r="H33" s="99">
        <f t="shared" si="7"/>
        <v>196.59723675947248</v>
      </c>
      <c r="I33" s="99">
        <f t="shared" si="7"/>
        <v>258.58079137571968</v>
      </c>
      <c r="J33" s="99">
        <f t="shared" si="7"/>
        <v>276.01715222600581</v>
      </c>
      <c r="K33" s="99">
        <f t="shared" si="7"/>
        <v>182.97690297563852</v>
      </c>
    </row>
    <row r="34" spans="5:12" s="80" customFormat="1" ht="14.25" customHeight="1" x14ac:dyDescent="0.3">
      <c r="E34" s="142" t="s">
        <v>22</v>
      </c>
      <c r="F34" s="143" t="s">
        <v>23</v>
      </c>
      <c r="G34" s="100"/>
      <c r="H34" s="101"/>
      <c r="I34" s="101"/>
      <c r="J34" s="101"/>
      <c r="K34" s="101"/>
    </row>
    <row r="35" spans="5:12" s="80" customFormat="1" ht="14.25" customHeight="1" x14ac:dyDescent="0.3">
      <c r="E35" s="142"/>
      <c r="F35" s="143"/>
      <c r="G35" s="90">
        <v>15844</v>
      </c>
      <c r="H35" s="87">
        <v>3866</v>
      </c>
      <c r="I35" s="98">
        <v>4535</v>
      </c>
      <c r="J35" s="98">
        <v>4357</v>
      </c>
      <c r="K35" s="98">
        <v>4144</v>
      </c>
    </row>
    <row r="36" spans="5:12" s="80" customFormat="1" ht="14.25" customHeight="1" x14ac:dyDescent="0.3">
      <c r="E36" s="142"/>
      <c r="F36" s="143"/>
      <c r="G36" s="90">
        <f>G32</f>
        <v>8565</v>
      </c>
      <c r="H36" s="87">
        <f>H32</f>
        <v>9554</v>
      </c>
      <c r="I36" s="87">
        <f t="shared" ref="I36:K36" si="8">I32</f>
        <v>8163</v>
      </c>
      <c r="J36" s="87">
        <f t="shared" si="8"/>
        <v>7929</v>
      </c>
      <c r="K36" s="87">
        <f t="shared" si="8"/>
        <v>11863</v>
      </c>
    </row>
    <row r="37" spans="5:12" s="80" customFormat="1" ht="14.25" customHeight="1" x14ac:dyDescent="0.3">
      <c r="E37" s="142"/>
      <c r="F37" s="143"/>
      <c r="G37" s="99">
        <f>G35/G36*365</f>
        <v>675.19673088149443</v>
      </c>
      <c r="H37" s="99">
        <f>H35/H36*365</f>
        <v>147.69625287837556</v>
      </c>
      <c r="I37" s="99">
        <f t="shared" ref="I37:K37" si="9">I35/I36*365</f>
        <v>202.7777777777778</v>
      </c>
      <c r="J37" s="99">
        <f t="shared" si="9"/>
        <v>200.56816748644218</v>
      </c>
      <c r="K37" s="99">
        <f t="shared" si="9"/>
        <v>127.50231813200709</v>
      </c>
    </row>
    <row r="38" spans="5:12" s="80" customFormat="1" x14ac:dyDescent="0.3">
      <c r="E38" s="142" t="s">
        <v>18</v>
      </c>
      <c r="F38" s="143" t="s">
        <v>19</v>
      </c>
      <c r="G38" s="90">
        <v>7385</v>
      </c>
      <c r="H38" s="87">
        <v>7115</v>
      </c>
      <c r="I38" s="98">
        <v>8031</v>
      </c>
      <c r="J38" s="98">
        <v>7264</v>
      </c>
      <c r="K38" s="98">
        <v>7148</v>
      </c>
    </row>
    <row r="39" spans="5:12" s="80" customFormat="1" x14ac:dyDescent="0.3">
      <c r="E39" s="142"/>
      <c r="F39" s="143"/>
      <c r="G39" s="90">
        <f>G15</f>
        <v>30328</v>
      </c>
      <c r="H39" s="87">
        <f>H15</f>
        <v>29324</v>
      </c>
      <c r="I39" s="87">
        <f>I15</f>
        <v>24696</v>
      </c>
      <c r="J39" s="87">
        <f>J15</f>
        <v>24354</v>
      </c>
      <c r="K39" s="87">
        <f>K15</f>
        <v>33754</v>
      </c>
    </row>
    <row r="40" spans="5:12" s="80" customFormat="1" ht="14.25" customHeight="1" x14ac:dyDescent="0.35">
      <c r="E40" s="142"/>
      <c r="F40" s="143"/>
      <c r="G40" s="102">
        <f>G38/G39*365</f>
        <v>88.879088630968084</v>
      </c>
      <c r="H40" s="102">
        <f>H38/H39*365</f>
        <v>88.561417269131084</v>
      </c>
      <c r="I40" s="102">
        <f t="shared" ref="I40:K40" si="10">I38/I39*365</f>
        <v>118.69594266277939</v>
      </c>
      <c r="J40" s="102">
        <f t="shared" si="10"/>
        <v>108.8675371602201</v>
      </c>
      <c r="K40" s="102">
        <f t="shared" si="10"/>
        <v>77.295135391361029</v>
      </c>
    </row>
    <row r="41" spans="5:12" s="80" customFormat="1" ht="14.25" customHeight="1" x14ac:dyDescent="0.3">
      <c r="E41" s="142"/>
      <c r="F41" s="143"/>
      <c r="G41" s="92"/>
      <c r="H41" s="103"/>
      <c r="I41" s="103"/>
      <c r="J41" s="103"/>
      <c r="K41" s="103"/>
    </row>
    <row r="42" spans="5:12" s="80" customFormat="1" ht="14.25" customHeight="1" x14ac:dyDescent="0.3">
      <c r="E42" s="147" t="s">
        <v>15</v>
      </c>
      <c r="F42" s="142" t="s">
        <v>28</v>
      </c>
      <c r="G42" s="144" t="s">
        <v>33</v>
      </c>
      <c r="H42" s="144"/>
      <c r="I42" s="144"/>
      <c r="J42" s="144"/>
      <c r="K42" s="144"/>
    </row>
    <row r="43" spans="5:12" s="80" customFormat="1" ht="16.2" x14ac:dyDescent="0.3">
      <c r="E43" s="147"/>
      <c r="F43" s="142"/>
      <c r="G43" s="83">
        <v>2023</v>
      </c>
      <c r="H43" s="84">
        <v>2022</v>
      </c>
      <c r="I43" s="85">
        <v>2021</v>
      </c>
      <c r="J43" s="85">
        <v>2020</v>
      </c>
      <c r="K43" s="84">
        <v>2019</v>
      </c>
    </row>
    <row r="44" spans="5:12" s="80" customFormat="1" x14ac:dyDescent="0.3">
      <c r="E44" s="142" t="s">
        <v>9</v>
      </c>
      <c r="F44" s="146" t="s">
        <v>81</v>
      </c>
      <c r="G44" s="90">
        <v>25142</v>
      </c>
      <c r="H44" s="104">
        <v>27240</v>
      </c>
      <c r="I44" s="104">
        <v>30091</v>
      </c>
      <c r="J44" s="104">
        <v>34521</v>
      </c>
      <c r="K44" s="104">
        <v>37285</v>
      </c>
      <c r="L44" s="105"/>
    </row>
    <row r="45" spans="5:12" s="80" customFormat="1" ht="14.25" customHeight="1" x14ac:dyDescent="0.3">
      <c r="E45" s="142"/>
      <c r="F45" s="146"/>
      <c r="G45" s="90">
        <v>13347</v>
      </c>
      <c r="H45" s="104">
        <v>10598</v>
      </c>
      <c r="I45" s="104">
        <v>15055</v>
      </c>
      <c r="J45" s="104">
        <v>14587</v>
      </c>
      <c r="K45" s="104">
        <v>11405</v>
      </c>
      <c r="L45" s="105"/>
    </row>
    <row r="46" spans="5:12" s="80" customFormat="1" ht="14.25" customHeight="1" x14ac:dyDescent="0.3">
      <c r="E46" s="142"/>
      <c r="F46" s="146"/>
      <c r="G46" s="100"/>
      <c r="H46" s="101"/>
      <c r="I46" s="101"/>
      <c r="J46" s="101"/>
      <c r="K46" s="101"/>
      <c r="L46" s="105"/>
    </row>
    <row r="47" spans="5:12" s="80" customFormat="1" ht="14.25" customHeight="1" x14ac:dyDescent="0.35">
      <c r="E47" s="142"/>
      <c r="F47" s="146"/>
      <c r="G47" s="106">
        <f>G44/G45</f>
        <v>1.8837191878324717</v>
      </c>
      <c r="H47" s="106">
        <f>H44/H45</f>
        <v>2.5702962823174182</v>
      </c>
      <c r="I47" s="106">
        <f t="shared" ref="I47:K47" si="11">I44/I45</f>
        <v>1.9987379608103619</v>
      </c>
      <c r="J47" s="106">
        <f t="shared" si="11"/>
        <v>2.366559265099061</v>
      </c>
      <c r="K47" s="106">
        <f t="shared" si="11"/>
        <v>3.2691801841297679</v>
      </c>
    </row>
    <row r="48" spans="5:12" s="80" customFormat="1" x14ac:dyDescent="0.3">
      <c r="E48" s="142" t="s">
        <v>16</v>
      </c>
      <c r="F48" s="146" t="s">
        <v>17</v>
      </c>
      <c r="G48" s="100"/>
      <c r="H48" s="101"/>
      <c r="I48" s="101"/>
      <c r="J48" s="101"/>
      <c r="K48" s="101"/>
    </row>
    <row r="49" spans="5:11" s="80" customFormat="1" x14ac:dyDescent="0.3">
      <c r="E49" s="142"/>
      <c r="F49" s="146"/>
      <c r="G49" s="90">
        <v>6745</v>
      </c>
      <c r="H49" s="87">
        <v>6433</v>
      </c>
      <c r="I49" s="87">
        <v>4357</v>
      </c>
      <c r="J49" s="87">
        <v>5979</v>
      </c>
      <c r="K49" s="87">
        <v>6961</v>
      </c>
    </row>
    <row r="50" spans="5:11" s="80" customFormat="1" x14ac:dyDescent="0.3">
      <c r="E50" s="142"/>
      <c r="F50" s="146"/>
      <c r="G50" s="100">
        <v>775</v>
      </c>
      <c r="H50" s="107">
        <v>852</v>
      </c>
      <c r="I50" s="107">
        <v>765</v>
      </c>
      <c r="J50" s="107">
        <v>876</v>
      </c>
      <c r="K50" s="107">
        <v>895</v>
      </c>
    </row>
    <row r="51" spans="5:11" s="80" customFormat="1" ht="16.2" x14ac:dyDescent="0.35">
      <c r="E51" s="142"/>
      <c r="F51" s="146"/>
      <c r="G51" s="96">
        <f>G49/G50</f>
        <v>8.7032258064516128</v>
      </c>
      <c r="H51" s="96">
        <f>H49/H50</f>
        <v>7.550469483568075</v>
      </c>
      <c r="I51" s="96">
        <f t="shared" ref="I51:K51" si="12">I49/I50</f>
        <v>5.6954248366013074</v>
      </c>
      <c r="J51" s="96">
        <f t="shared" si="12"/>
        <v>6.8253424657534243</v>
      </c>
      <c r="K51" s="96">
        <f t="shared" si="12"/>
        <v>7.7776536312849158</v>
      </c>
    </row>
    <row r="52" spans="5:11" s="80" customFormat="1" ht="14.4" customHeight="1" x14ac:dyDescent="0.3">
      <c r="E52" s="145" t="s">
        <v>14</v>
      </c>
      <c r="F52" s="142" t="s">
        <v>28</v>
      </c>
      <c r="G52" s="144" t="s">
        <v>33</v>
      </c>
      <c r="H52" s="144"/>
      <c r="I52" s="144"/>
      <c r="J52" s="144"/>
      <c r="K52" s="144"/>
    </row>
    <row r="53" spans="5:11" s="80" customFormat="1" ht="16.2" x14ac:dyDescent="0.3">
      <c r="E53" s="145"/>
      <c r="F53" s="142"/>
      <c r="G53" s="83">
        <v>2023</v>
      </c>
      <c r="H53" s="84">
        <v>2022</v>
      </c>
      <c r="I53" s="85">
        <v>2021</v>
      </c>
      <c r="J53" s="85">
        <v>2020</v>
      </c>
      <c r="K53" s="84">
        <v>2019</v>
      </c>
    </row>
    <row r="54" spans="5:11" s="80" customFormat="1" x14ac:dyDescent="0.3">
      <c r="E54" s="142" t="s">
        <v>26</v>
      </c>
      <c r="F54" s="143" t="s">
        <v>82</v>
      </c>
      <c r="G54" s="100"/>
      <c r="H54" s="93"/>
      <c r="I54" s="108"/>
      <c r="J54" s="108"/>
      <c r="K54" s="108"/>
    </row>
    <row r="55" spans="5:11" s="80" customFormat="1" x14ac:dyDescent="0.3">
      <c r="E55" s="142"/>
      <c r="F55" s="143"/>
      <c r="G55" s="100">
        <v>985</v>
      </c>
      <c r="H55" s="87">
        <v>1354</v>
      </c>
      <c r="I55" s="88">
        <v>1452</v>
      </c>
      <c r="J55" s="88">
        <v>958</v>
      </c>
      <c r="K55" s="87">
        <v>1125</v>
      </c>
    </row>
    <row r="56" spans="5:11" s="80" customFormat="1" x14ac:dyDescent="0.3">
      <c r="E56" s="142"/>
      <c r="F56" s="143"/>
      <c r="G56" s="100">
        <v>450</v>
      </c>
      <c r="H56" s="87">
        <v>366.2</v>
      </c>
      <c r="I56" s="109">
        <v>108.2</v>
      </c>
      <c r="J56" s="109">
        <v>142.6</v>
      </c>
      <c r="K56" s="109">
        <v>92.6</v>
      </c>
    </row>
    <row r="57" spans="5:11" s="80" customFormat="1" ht="16.2" x14ac:dyDescent="0.35">
      <c r="E57" s="142"/>
      <c r="F57" s="143"/>
      <c r="G57" s="110">
        <f>G55/G56</f>
        <v>2.1888888888888891</v>
      </c>
      <c r="H57" s="110">
        <f>H55/H56</f>
        <v>3.6974330966684872</v>
      </c>
      <c r="I57" s="110">
        <f t="shared" ref="I57:K57" si="13">I55/I56</f>
        <v>13.419593345656192</v>
      </c>
      <c r="J57" s="110">
        <f t="shared" si="13"/>
        <v>6.7180925666199158</v>
      </c>
      <c r="K57" s="110">
        <f t="shared" si="13"/>
        <v>12.14902807775378</v>
      </c>
    </row>
  </sheetData>
  <mergeCells count="38">
    <mergeCell ref="E17:E18"/>
    <mergeCell ref="F17:F18"/>
    <mergeCell ref="E19:E21"/>
    <mergeCell ref="F19:F21"/>
    <mergeCell ref="E7:E9"/>
    <mergeCell ref="F7:F9"/>
    <mergeCell ref="E14:E16"/>
    <mergeCell ref="F14:F16"/>
    <mergeCell ref="E10:E13"/>
    <mergeCell ref="F10:F13"/>
    <mergeCell ref="E26:E27"/>
    <mergeCell ref="F26:F27"/>
    <mergeCell ref="E28:E30"/>
    <mergeCell ref="F28:F30"/>
    <mergeCell ref="E22:E25"/>
    <mergeCell ref="F22:F25"/>
    <mergeCell ref="E38:E41"/>
    <mergeCell ref="F38:F41"/>
    <mergeCell ref="E34:E37"/>
    <mergeCell ref="F34:F37"/>
    <mergeCell ref="E31:E33"/>
    <mergeCell ref="F31:F33"/>
    <mergeCell ref="E54:E57"/>
    <mergeCell ref="F54:F57"/>
    <mergeCell ref="G5:K5"/>
    <mergeCell ref="G17:K17"/>
    <mergeCell ref="G26:K26"/>
    <mergeCell ref="G42:K42"/>
    <mergeCell ref="G52:K52"/>
    <mergeCell ref="E5:F5"/>
    <mergeCell ref="E48:E51"/>
    <mergeCell ref="F48:F51"/>
    <mergeCell ref="E42:E43"/>
    <mergeCell ref="F42:F43"/>
    <mergeCell ref="E52:E53"/>
    <mergeCell ref="F52:F53"/>
    <mergeCell ref="E44:E47"/>
    <mergeCell ref="F44:F4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Ratio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2026-01-12T19:30:35Z</dcterms:created>
  <dcterms:modified xsi:type="dcterms:W3CDTF">2026-01-12T19:31:30Z</dcterms:modified>
</cp:coreProperties>
</file>