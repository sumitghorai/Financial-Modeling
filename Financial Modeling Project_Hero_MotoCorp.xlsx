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ED5CB15A-8526-4FF5-B8CD-D3894993B53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odel" sheetId="1" r:id="rId1"/>
    <sheet name="Notes and Assumptions" sheetId="2" r:id="rId2"/>
    <sheet name="Q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2" i="1" l="1"/>
  <c r="M202" i="1"/>
  <c r="N202" i="1"/>
  <c r="O202" i="1"/>
  <c r="P202" i="1"/>
  <c r="K202" i="1"/>
  <c r="L201" i="1"/>
  <c r="M201" i="1"/>
  <c r="N201" i="1"/>
  <c r="O201" i="1"/>
  <c r="P201" i="1"/>
  <c r="K201" i="1"/>
  <c r="K98" i="1" l="1"/>
  <c r="K82" i="1"/>
  <c r="K83" i="1"/>
  <c r="K67" i="1"/>
  <c r="K74" i="1"/>
  <c r="L74" i="1" s="1"/>
  <c r="M74" i="1" s="1"/>
  <c r="N74" i="1" s="1"/>
  <c r="O74" i="1" s="1"/>
  <c r="P74" i="1" s="1"/>
  <c r="K80" i="1"/>
  <c r="K87" i="1"/>
  <c r="P80" i="1"/>
  <c r="P89" i="1"/>
  <c r="P82" i="1"/>
  <c r="O89" i="1"/>
  <c r="O80" i="1" s="1"/>
  <c r="N89" i="1"/>
  <c r="N80" i="1"/>
  <c r="L82" i="1"/>
  <c r="M82" i="1"/>
  <c r="M80" i="1" s="1"/>
  <c r="M89" i="1"/>
  <c r="L50" i="1"/>
  <c r="M50" i="1" s="1"/>
  <c r="N50" i="1" s="1"/>
  <c r="O50" i="1" s="1"/>
  <c r="P50" i="1" s="1"/>
  <c r="L51" i="1"/>
  <c r="M51" i="1"/>
  <c r="N51" i="1" s="1"/>
  <c r="O51" i="1" s="1"/>
  <c r="P51" i="1" s="1"/>
  <c r="L52" i="1"/>
  <c r="M52" i="1" s="1"/>
  <c r="N52" i="1" s="1"/>
  <c r="O52" i="1" s="1"/>
  <c r="P52" i="1" s="1"/>
  <c r="L53" i="1"/>
  <c r="M53" i="1" s="1"/>
  <c r="N53" i="1" s="1"/>
  <c r="O53" i="1" s="1"/>
  <c r="P53" i="1" s="1"/>
  <c r="K51" i="1"/>
  <c r="K52" i="1"/>
  <c r="K53" i="1"/>
  <c r="K50" i="1"/>
  <c r="L75" i="1"/>
  <c r="M75" i="1"/>
  <c r="N75" i="1" s="1"/>
  <c r="O75" i="1" s="1"/>
  <c r="P75" i="1" s="1"/>
  <c r="L76" i="1"/>
  <c r="M76" i="1" s="1"/>
  <c r="N76" i="1" s="1"/>
  <c r="O76" i="1" s="1"/>
  <c r="P76" i="1" s="1"/>
  <c r="L77" i="1"/>
  <c r="M77" i="1"/>
  <c r="N77" i="1" s="1"/>
  <c r="O77" i="1" s="1"/>
  <c r="P77" i="1" s="1"/>
  <c r="L78" i="1"/>
  <c r="M78" i="1"/>
  <c r="N78" i="1"/>
  <c r="O78" i="1" s="1"/>
  <c r="P78" i="1" s="1"/>
  <c r="K75" i="1"/>
  <c r="K76" i="1"/>
  <c r="K77" i="1"/>
  <c r="K78" i="1"/>
  <c r="L68" i="1"/>
  <c r="M68" i="1" s="1"/>
  <c r="N68" i="1" s="1"/>
  <c r="O68" i="1" s="1"/>
  <c r="P68" i="1" s="1"/>
  <c r="L69" i="1"/>
  <c r="M69" i="1"/>
  <c r="N69" i="1" s="1"/>
  <c r="O69" i="1" s="1"/>
  <c r="P69" i="1" s="1"/>
  <c r="L70" i="1"/>
  <c r="M70" i="1"/>
  <c r="N70" i="1"/>
  <c r="O70" i="1" s="1"/>
  <c r="P70" i="1" s="1"/>
  <c r="L71" i="1"/>
  <c r="M71" i="1" s="1"/>
  <c r="N71" i="1" s="1"/>
  <c r="O71" i="1" s="1"/>
  <c r="P71" i="1" s="1"/>
  <c r="L72" i="1"/>
  <c r="M72" i="1" s="1"/>
  <c r="N72" i="1" s="1"/>
  <c r="O72" i="1" s="1"/>
  <c r="P72" i="1" s="1"/>
  <c r="K72" i="1"/>
  <c r="K70" i="1"/>
  <c r="K71" i="1"/>
  <c r="K69" i="1"/>
  <c r="K68" i="1"/>
  <c r="J90" i="1"/>
  <c r="L80" i="1"/>
  <c r="J80" i="1"/>
  <c r="L89" i="1"/>
  <c r="K89" i="1"/>
  <c r="G159" i="1"/>
  <c r="L87" i="1"/>
  <c r="M87" i="1"/>
  <c r="N87" i="1"/>
  <c r="O87" i="1"/>
  <c r="P87" i="1"/>
  <c r="L86" i="1"/>
  <c r="M86" i="1"/>
  <c r="N86" i="1"/>
  <c r="O86" i="1"/>
  <c r="P86" i="1"/>
  <c r="K86" i="1"/>
  <c r="L85" i="1"/>
  <c r="M85" i="1"/>
  <c r="N85" i="1"/>
  <c r="O85" i="1"/>
  <c r="P85" i="1"/>
  <c r="K85" i="1"/>
  <c r="D26" i="2"/>
  <c r="E26" i="2"/>
  <c r="F26" i="2"/>
  <c r="G26" i="2"/>
  <c r="H26" i="2"/>
  <c r="C26" i="2"/>
  <c r="L84" i="1"/>
  <c r="M84" i="1" s="1"/>
  <c r="N84" i="1" s="1"/>
  <c r="O84" i="1" s="1"/>
  <c r="P84" i="1" s="1"/>
  <c r="K84" i="1"/>
  <c r="L83" i="1"/>
  <c r="M83" i="1"/>
  <c r="N83" i="1"/>
  <c r="O83" i="1"/>
  <c r="P83" i="1"/>
  <c r="N82" i="1"/>
  <c r="O82" i="1"/>
  <c r="J67" i="1"/>
  <c r="K55" i="1"/>
  <c r="L55" i="1"/>
  <c r="M55" i="1"/>
  <c r="N55" i="1"/>
  <c r="O55" i="1"/>
  <c r="P55" i="1"/>
  <c r="J55" i="1"/>
  <c r="J62" i="1"/>
  <c r="L61" i="1"/>
  <c r="M61" i="1"/>
  <c r="N61" i="1"/>
  <c r="O61" i="1"/>
  <c r="P61" i="1"/>
  <c r="K61" i="1"/>
  <c r="L60" i="1"/>
  <c r="M60" i="1"/>
  <c r="N60" i="1"/>
  <c r="O60" i="1"/>
  <c r="P60" i="1"/>
  <c r="K60" i="1"/>
  <c r="L59" i="1"/>
  <c r="M59" i="1"/>
  <c r="N59" i="1"/>
  <c r="O59" i="1"/>
  <c r="P59" i="1"/>
  <c r="K59" i="1"/>
  <c r="L58" i="1"/>
  <c r="M58" i="1"/>
  <c r="N58" i="1"/>
  <c r="O58" i="1"/>
  <c r="P58" i="1"/>
  <c r="K58" i="1"/>
  <c r="L57" i="1"/>
  <c r="M57" i="1"/>
  <c r="N57" i="1"/>
  <c r="O57" i="1"/>
  <c r="P57" i="1"/>
  <c r="K57" i="1"/>
  <c r="J194" i="1"/>
  <c r="K189" i="1"/>
  <c r="L189" i="1"/>
  <c r="M189" i="1"/>
  <c r="N189" i="1"/>
  <c r="O189" i="1"/>
  <c r="P189" i="1"/>
  <c r="J189" i="1"/>
  <c r="K188" i="1"/>
  <c r="L188" i="1"/>
  <c r="M188" i="1"/>
  <c r="N188" i="1"/>
  <c r="O188" i="1"/>
  <c r="P188" i="1"/>
  <c r="J188" i="1"/>
  <c r="L172" i="1"/>
  <c r="K172" i="1"/>
  <c r="M172" i="1"/>
  <c r="N172" i="1"/>
  <c r="O172" i="1"/>
  <c r="P172" i="1"/>
  <c r="K161" i="1"/>
  <c r="L161" i="1"/>
  <c r="M161" i="1"/>
  <c r="N161" i="1"/>
  <c r="O161" i="1"/>
  <c r="P161" i="1"/>
  <c r="P163" i="1"/>
  <c r="P164" i="1"/>
  <c r="P165" i="1"/>
  <c r="P166" i="1"/>
  <c r="P167" i="1"/>
  <c r="P162" i="1"/>
  <c r="O163" i="1"/>
  <c r="O164" i="1"/>
  <c r="O165" i="1"/>
  <c r="O166" i="1"/>
  <c r="O167" i="1"/>
  <c r="O162" i="1"/>
  <c r="N163" i="1"/>
  <c r="N164" i="1"/>
  <c r="N165" i="1"/>
  <c r="N166" i="1"/>
  <c r="N167" i="1"/>
  <c r="N162" i="1"/>
  <c r="M163" i="1"/>
  <c r="M164" i="1"/>
  <c r="M165" i="1"/>
  <c r="M166" i="1"/>
  <c r="M167" i="1"/>
  <c r="M162" i="1"/>
  <c r="L165" i="1"/>
  <c r="L163" i="1"/>
  <c r="L164" i="1"/>
  <c r="L166" i="1"/>
  <c r="L167" i="1"/>
  <c r="L162" i="1"/>
  <c r="K163" i="1"/>
  <c r="K164" i="1"/>
  <c r="K165" i="1"/>
  <c r="K166" i="1"/>
  <c r="K167" i="1"/>
  <c r="K162" i="1"/>
  <c r="K153" i="1"/>
  <c r="L153" i="1"/>
  <c r="M153" i="1"/>
  <c r="N153" i="1"/>
  <c r="O153" i="1"/>
  <c r="P153" i="1"/>
  <c r="O154" i="1"/>
  <c r="O155" i="1"/>
  <c r="P155" i="1"/>
  <c r="P156" i="1"/>
  <c r="P157" i="1"/>
  <c r="P158" i="1"/>
  <c r="P159" i="1"/>
  <c r="P154" i="1"/>
  <c r="O156" i="1"/>
  <c r="O157" i="1"/>
  <c r="O158" i="1"/>
  <c r="O159" i="1"/>
  <c r="N155" i="1"/>
  <c r="N156" i="1"/>
  <c r="N157" i="1"/>
  <c r="N158" i="1"/>
  <c r="N159" i="1"/>
  <c r="N154" i="1"/>
  <c r="M157" i="1"/>
  <c r="M155" i="1"/>
  <c r="M156" i="1"/>
  <c r="M158" i="1"/>
  <c r="M159" i="1"/>
  <c r="M154" i="1"/>
  <c r="L154" i="1"/>
  <c r="J172" i="1"/>
  <c r="L155" i="1"/>
  <c r="L156" i="1"/>
  <c r="L157" i="1"/>
  <c r="L158" i="1"/>
  <c r="L159" i="1"/>
  <c r="K155" i="1"/>
  <c r="K156" i="1"/>
  <c r="K157" i="1"/>
  <c r="K158" i="1"/>
  <c r="K159" i="1"/>
  <c r="K154" i="1"/>
  <c r="L169" i="1"/>
  <c r="M169" i="1"/>
  <c r="N169" i="1"/>
  <c r="O169" i="1"/>
  <c r="P169" i="1"/>
  <c r="K169" i="1"/>
  <c r="K49" i="1"/>
  <c r="C24" i="2" s="1"/>
  <c r="J49" i="1"/>
  <c r="K44" i="1"/>
  <c r="L44" i="1"/>
  <c r="M44" i="1"/>
  <c r="N44" i="1"/>
  <c r="O44" i="1"/>
  <c r="P44" i="1"/>
  <c r="D23" i="2"/>
  <c r="E23" i="2"/>
  <c r="F23" i="2"/>
  <c r="G23" i="2"/>
  <c r="H23" i="2"/>
  <c r="C23" i="2"/>
  <c r="L43" i="1"/>
  <c r="M43" i="1" s="1"/>
  <c r="N43" i="1" s="1"/>
  <c r="O43" i="1" s="1"/>
  <c r="P43" i="1" s="1"/>
  <c r="K43" i="1"/>
  <c r="G44" i="1"/>
  <c r="G32" i="1"/>
  <c r="K36" i="1"/>
  <c r="L36" i="1"/>
  <c r="M36" i="1"/>
  <c r="N36" i="1"/>
  <c r="O36" i="1"/>
  <c r="P36" i="1"/>
  <c r="J36" i="1"/>
  <c r="K32" i="1"/>
  <c r="L32" i="1"/>
  <c r="M32" i="1"/>
  <c r="N32" i="1"/>
  <c r="O32" i="1"/>
  <c r="P32" i="1"/>
  <c r="J32" i="1"/>
  <c r="K30" i="1"/>
  <c r="L30" i="1"/>
  <c r="M30" i="1"/>
  <c r="N30" i="1"/>
  <c r="O30" i="1"/>
  <c r="P30" i="1"/>
  <c r="K28" i="1"/>
  <c r="L28" i="1"/>
  <c r="M28" i="1"/>
  <c r="N28" i="1"/>
  <c r="O28" i="1"/>
  <c r="P28" i="1"/>
  <c r="J28" i="1"/>
  <c r="G28" i="1"/>
  <c r="D21" i="2"/>
  <c r="E21" i="2"/>
  <c r="F21" i="2"/>
  <c r="G21" i="2"/>
  <c r="H21" i="2"/>
  <c r="C21" i="2"/>
  <c r="P26" i="1"/>
  <c r="L124" i="1"/>
  <c r="M124" i="1"/>
  <c r="N124" i="1" s="1"/>
  <c r="L125" i="1"/>
  <c r="M125" i="1" s="1"/>
  <c r="N125" i="1" s="1"/>
  <c r="O125" i="1" s="1"/>
  <c r="P125" i="1" s="1"/>
  <c r="L126" i="1"/>
  <c r="M126" i="1"/>
  <c r="N126" i="1" s="1"/>
  <c r="O126" i="1" s="1"/>
  <c r="P126" i="1" s="1"/>
  <c r="L127" i="1"/>
  <c r="M127" i="1" s="1"/>
  <c r="L128" i="1"/>
  <c r="M128" i="1"/>
  <c r="N128" i="1" s="1"/>
  <c r="O128" i="1" s="1"/>
  <c r="P128" i="1" s="1"/>
  <c r="L129" i="1"/>
  <c r="M129" i="1" s="1"/>
  <c r="N129" i="1" s="1"/>
  <c r="O129" i="1" s="1"/>
  <c r="P129" i="1" s="1"/>
  <c r="K125" i="1"/>
  <c r="K126" i="1"/>
  <c r="K127" i="1"/>
  <c r="K128" i="1"/>
  <c r="K129" i="1"/>
  <c r="K124" i="1"/>
  <c r="K11" i="1"/>
  <c r="J26" i="1"/>
  <c r="D20" i="2"/>
  <c r="E20" i="2"/>
  <c r="F20" i="2"/>
  <c r="G20" i="2"/>
  <c r="H20" i="2"/>
  <c r="C20" i="2"/>
  <c r="L9" i="1"/>
  <c r="J18" i="1"/>
  <c r="L20" i="1"/>
  <c r="M20" i="1"/>
  <c r="N20" i="1"/>
  <c r="O20" i="1"/>
  <c r="P20" i="1"/>
  <c r="K20" i="1"/>
  <c r="L204" i="1"/>
  <c r="M204" i="1"/>
  <c r="N204" i="1"/>
  <c r="O204" i="1"/>
  <c r="P204" i="1"/>
  <c r="K204" i="1"/>
  <c r="L200" i="1"/>
  <c r="M200" i="1"/>
  <c r="N200" i="1"/>
  <c r="O200" i="1"/>
  <c r="P200" i="1"/>
  <c r="K200" i="1"/>
  <c r="L196" i="1"/>
  <c r="M196" i="1"/>
  <c r="N196" i="1"/>
  <c r="O196" i="1"/>
  <c r="P196" i="1"/>
  <c r="K196" i="1"/>
  <c r="D19" i="2"/>
  <c r="E19" i="2"/>
  <c r="F19" i="2"/>
  <c r="G19" i="2"/>
  <c r="H19" i="2"/>
  <c r="C19" i="2"/>
  <c r="K10" i="1"/>
  <c r="M13" i="1"/>
  <c r="K12" i="1"/>
  <c r="K13" i="1"/>
  <c r="K14" i="1"/>
  <c r="K9" i="1"/>
  <c r="K6" i="1"/>
  <c r="L6" i="1"/>
  <c r="M6" i="1"/>
  <c r="N6" i="1"/>
  <c r="O6" i="1"/>
  <c r="P6" i="1"/>
  <c r="D18" i="2"/>
  <c r="E18" i="2"/>
  <c r="F18" i="2"/>
  <c r="G18" i="2"/>
  <c r="H18" i="2"/>
  <c r="C18" i="2"/>
  <c r="L4" i="1"/>
  <c r="M4" i="1" s="1"/>
  <c r="N4" i="1" s="1"/>
  <c r="O4" i="1" s="1"/>
  <c r="P4" i="1" s="1"/>
  <c r="K4" i="1"/>
  <c r="L3" i="1"/>
  <c r="M3" i="1"/>
  <c r="N3" i="1"/>
  <c r="O3" i="1"/>
  <c r="P3" i="1"/>
  <c r="K3" i="1"/>
  <c r="J102" i="1"/>
  <c r="J100" i="1"/>
  <c r="L100" i="1"/>
  <c r="M100" i="1"/>
  <c r="N100" i="1"/>
  <c r="O100" i="1"/>
  <c r="P100" i="1"/>
  <c r="K100" i="1"/>
  <c r="L98" i="1"/>
  <c r="M98" i="1"/>
  <c r="N98" i="1"/>
  <c r="O98" i="1"/>
  <c r="P98" i="1"/>
  <c r="L186" i="1"/>
  <c r="M186" i="1"/>
  <c r="N186" i="1"/>
  <c r="O186" i="1"/>
  <c r="P186" i="1"/>
  <c r="K186" i="1"/>
  <c r="I172" i="1"/>
  <c r="J169" i="1"/>
  <c r="K147" i="1"/>
  <c r="L147" i="1" s="1"/>
  <c r="M147" i="1" s="1"/>
  <c r="N147" i="1" s="1"/>
  <c r="O147" i="1" s="1"/>
  <c r="P147" i="1" s="1"/>
  <c r="K146" i="1"/>
  <c r="L146" i="1" s="1"/>
  <c r="M146" i="1" s="1"/>
  <c r="N146" i="1" s="1"/>
  <c r="O146" i="1" s="1"/>
  <c r="P146" i="1" s="1"/>
  <c r="K145" i="1"/>
  <c r="L145" i="1" s="1"/>
  <c r="M145" i="1" s="1"/>
  <c r="N145" i="1" s="1"/>
  <c r="O145" i="1" s="1"/>
  <c r="P145" i="1" s="1"/>
  <c r="K144" i="1"/>
  <c r="L144" i="1" s="1"/>
  <c r="M144" i="1" s="1"/>
  <c r="N144" i="1" s="1"/>
  <c r="O144" i="1" s="1"/>
  <c r="P144" i="1" s="1"/>
  <c r="K143" i="1"/>
  <c r="L143" i="1" s="1"/>
  <c r="M143" i="1" s="1"/>
  <c r="N143" i="1" s="1"/>
  <c r="O143" i="1" s="1"/>
  <c r="P143" i="1" s="1"/>
  <c r="K142" i="1"/>
  <c r="L142" i="1" s="1"/>
  <c r="M142" i="1" s="1"/>
  <c r="N142" i="1" s="1"/>
  <c r="O142" i="1" s="1"/>
  <c r="P142" i="1" s="1"/>
  <c r="L133" i="1"/>
  <c r="M133" i="1" s="1"/>
  <c r="N133" i="1" s="1"/>
  <c r="O133" i="1" s="1"/>
  <c r="P133" i="1" s="1"/>
  <c r="K133" i="1"/>
  <c r="K138" i="1"/>
  <c r="L138" i="1" s="1"/>
  <c r="M138" i="1" s="1"/>
  <c r="N138" i="1" s="1"/>
  <c r="O138" i="1" s="1"/>
  <c r="P138" i="1" s="1"/>
  <c r="K137" i="1"/>
  <c r="L137" i="1" s="1"/>
  <c r="M137" i="1" s="1"/>
  <c r="N137" i="1" s="1"/>
  <c r="O137" i="1" s="1"/>
  <c r="P137" i="1" s="1"/>
  <c r="K136" i="1"/>
  <c r="L136" i="1" s="1"/>
  <c r="M136" i="1" s="1"/>
  <c r="N136" i="1" s="1"/>
  <c r="O136" i="1" s="1"/>
  <c r="P136" i="1" s="1"/>
  <c r="K135" i="1"/>
  <c r="L135" i="1" s="1"/>
  <c r="M135" i="1" s="1"/>
  <c r="N135" i="1" s="1"/>
  <c r="O135" i="1" s="1"/>
  <c r="P135" i="1" s="1"/>
  <c r="K134" i="1"/>
  <c r="L134" i="1" s="1"/>
  <c r="M134" i="1" s="1"/>
  <c r="N134" i="1" s="1"/>
  <c r="O134" i="1" s="1"/>
  <c r="P134" i="1" s="1"/>
  <c r="L10" i="1"/>
  <c r="L13" i="1"/>
  <c r="L119" i="1"/>
  <c r="M119" i="1"/>
  <c r="N119" i="1" s="1"/>
  <c r="O119" i="1" s="1"/>
  <c r="P119" i="1" s="1"/>
  <c r="K119" i="1"/>
  <c r="D11" i="2"/>
  <c r="E11" i="2"/>
  <c r="F11" i="2"/>
  <c r="G11" i="2"/>
  <c r="H11" i="2"/>
  <c r="C11" i="2"/>
  <c r="D10" i="2"/>
  <c r="E10" i="2"/>
  <c r="F10" i="2"/>
  <c r="G10" i="2"/>
  <c r="H10" i="2"/>
  <c r="C10" i="2"/>
  <c r="K109" i="1"/>
  <c r="L109" i="1"/>
  <c r="M109" i="1"/>
  <c r="N109" i="1"/>
  <c r="O109" i="1"/>
  <c r="P109" i="1"/>
  <c r="L108" i="1"/>
  <c r="M108" i="1"/>
  <c r="N108" i="1"/>
  <c r="O108" i="1"/>
  <c r="P108" i="1"/>
  <c r="K108" i="1"/>
  <c r="L107" i="1"/>
  <c r="M107" i="1" s="1"/>
  <c r="N107" i="1" s="1"/>
  <c r="O107" i="1" s="1"/>
  <c r="P107" i="1" s="1"/>
  <c r="K107" i="1"/>
  <c r="C205" i="1"/>
  <c r="D205" i="1"/>
  <c r="E205" i="1"/>
  <c r="F205" i="1"/>
  <c r="G205" i="1"/>
  <c r="H205" i="1"/>
  <c r="I205" i="1"/>
  <c r="J205" i="1"/>
  <c r="B205" i="1"/>
  <c r="C204" i="1"/>
  <c r="D204" i="1"/>
  <c r="E204" i="1"/>
  <c r="F204" i="1"/>
  <c r="G204" i="1"/>
  <c r="H204" i="1"/>
  <c r="I204" i="1"/>
  <c r="J204" i="1"/>
  <c r="B204" i="1"/>
  <c r="D7" i="2"/>
  <c r="C7" i="2"/>
  <c r="K198" i="1"/>
  <c r="C198" i="1"/>
  <c r="D198" i="1"/>
  <c r="E198" i="1"/>
  <c r="F198" i="1"/>
  <c r="G198" i="1"/>
  <c r="H198" i="1"/>
  <c r="I198" i="1"/>
  <c r="J198" i="1"/>
  <c r="B198" i="1"/>
  <c r="C196" i="1"/>
  <c r="D196" i="1"/>
  <c r="E196" i="1"/>
  <c r="F196" i="1"/>
  <c r="G196" i="1"/>
  <c r="H196" i="1"/>
  <c r="I196" i="1"/>
  <c r="J196" i="1"/>
  <c r="B196" i="1"/>
  <c r="C195" i="1"/>
  <c r="D195" i="1"/>
  <c r="E195" i="1"/>
  <c r="F195" i="1"/>
  <c r="G195" i="1"/>
  <c r="H195" i="1"/>
  <c r="I195" i="1"/>
  <c r="J195" i="1"/>
  <c r="B195" i="1"/>
  <c r="C194" i="1"/>
  <c r="D194" i="1"/>
  <c r="E194" i="1"/>
  <c r="F194" i="1"/>
  <c r="G194" i="1"/>
  <c r="H194" i="1"/>
  <c r="I194" i="1"/>
  <c r="B194" i="1"/>
  <c r="D189" i="1"/>
  <c r="E189" i="1"/>
  <c r="F189" i="1"/>
  <c r="G189" i="1"/>
  <c r="H189" i="1"/>
  <c r="I189" i="1"/>
  <c r="C189" i="1"/>
  <c r="C188" i="1"/>
  <c r="D188" i="1"/>
  <c r="E188" i="1"/>
  <c r="F188" i="1"/>
  <c r="G188" i="1"/>
  <c r="H188" i="1"/>
  <c r="I188" i="1"/>
  <c r="B188" i="1"/>
  <c r="C186" i="1"/>
  <c r="D186" i="1"/>
  <c r="E186" i="1"/>
  <c r="F186" i="1"/>
  <c r="G186" i="1"/>
  <c r="H186" i="1"/>
  <c r="I186" i="1"/>
  <c r="J186" i="1"/>
  <c r="C185" i="1"/>
  <c r="D185" i="1"/>
  <c r="E185" i="1"/>
  <c r="F185" i="1"/>
  <c r="G185" i="1"/>
  <c r="H185" i="1"/>
  <c r="I185" i="1"/>
  <c r="J185" i="1"/>
  <c r="C184" i="1"/>
  <c r="D184" i="1"/>
  <c r="E184" i="1"/>
  <c r="F184" i="1"/>
  <c r="G184" i="1"/>
  <c r="H184" i="1"/>
  <c r="I184" i="1"/>
  <c r="J184" i="1"/>
  <c r="C183" i="1"/>
  <c r="D183" i="1"/>
  <c r="E183" i="1"/>
  <c r="F183" i="1"/>
  <c r="G183" i="1"/>
  <c r="H183" i="1"/>
  <c r="I183" i="1"/>
  <c r="J183" i="1"/>
  <c r="C182" i="1"/>
  <c r="D182" i="1"/>
  <c r="E182" i="1"/>
  <c r="F182" i="1"/>
  <c r="G182" i="1"/>
  <c r="H182" i="1"/>
  <c r="I182" i="1"/>
  <c r="J182" i="1"/>
  <c r="C181" i="1"/>
  <c r="D181" i="1"/>
  <c r="E181" i="1"/>
  <c r="F181" i="1"/>
  <c r="G181" i="1"/>
  <c r="H181" i="1"/>
  <c r="I181" i="1"/>
  <c r="J181" i="1"/>
  <c r="C180" i="1"/>
  <c r="D180" i="1"/>
  <c r="E180" i="1"/>
  <c r="F180" i="1"/>
  <c r="G180" i="1"/>
  <c r="H180" i="1"/>
  <c r="I180" i="1"/>
  <c r="J180" i="1"/>
  <c r="B186" i="1"/>
  <c r="B185" i="1"/>
  <c r="B184" i="1"/>
  <c r="B183" i="1"/>
  <c r="B182" i="1"/>
  <c r="B181" i="1"/>
  <c r="B180" i="1"/>
  <c r="J175" i="1"/>
  <c r="C178" i="1"/>
  <c r="D178" i="1"/>
  <c r="E178" i="1"/>
  <c r="F178" i="1"/>
  <c r="G178" i="1"/>
  <c r="H178" i="1"/>
  <c r="I178" i="1"/>
  <c r="J178" i="1"/>
  <c r="C177" i="1"/>
  <c r="D177" i="1"/>
  <c r="E177" i="1"/>
  <c r="F177" i="1"/>
  <c r="G177" i="1"/>
  <c r="H177" i="1"/>
  <c r="I177" i="1"/>
  <c r="J177" i="1"/>
  <c r="C176" i="1"/>
  <c r="D176" i="1"/>
  <c r="E176" i="1"/>
  <c r="F176" i="1"/>
  <c r="G176" i="1"/>
  <c r="H176" i="1"/>
  <c r="I176" i="1"/>
  <c r="J176" i="1"/>
  <c r="C175" i="1"/>
  <c r="D175" i="1"/>
  <c r="E175" i="1"/>
  <c r="F175" i="1"/>
  <c r="G175" i="1"/>
  <c r="H175" i="1"/>
  <c r="I175" i="1"/>
  <c r="C174" i="1"/>
  <c r="D174" i="1"/>
  <c r="E174" i="1"/>
  <c r="F174" i="1"/>
  <c r="G174" i="1"/>
  <c r="H174" i="1"/>
  <c r="I174" i="1"/>
  <c r="J174" i="1"/>
  <c r="B178" i="1"/>
  <c r="B177" i="1"/>
  <c r="B176" i="1"/>
  <c r="B175" i="1"/>
  <c r="B174" i="1"/>
  <c r="C173" i="1"/>
  <c r="D173" i="1"/>
  <c r="E173" i="1"/>
  <c r="F173" i="1"/>
  <c r="G173" i="1"/>
  <c r="H173" i="1"/>
  <c r="I173" i="1"/>
  <c r="J173" i="1"/>
  <c r="B173" i="1"/>
  <c r="C172" i="1"/>
  <c r="D172" i="1"/>
  <c r="E172" i="1"/>
  <c r="F172" i="1"/>
  <c r="G172" i="1"/>
  <c r="H172" i="1"/>
  <c r="B172" i="1"/>
  <c r="C169" i="1"/>
  <c r="D169" i="1"/>
  <c r="E169" i="1"/>
  <c r="F169" i="1"/>
  <c r="G169" i="1"/>
  <c r="H169" i="1"/>
  <c r="I169" i="1"/>
  <c r="B169" i="1"/>
  <c r="C161" i="1"/>
  <c r="D161" i="1"/>
  <c r="E161" i="1"/>
  <c r="F161" i="1"/>
  <c r="G161" i="1"/>
  <c r="H161" i="1"/>
  <c r="I161" i="1"/>
  <c r="J161" i="1"/>
  <c r="B161" i="1"/>
  <c r="C167" i="1"/>
  <c r="D167" i="1"/>
  <c r="E167" i="1"/>
  <c r="F167" i="1"/>
  <c r="G167" i="1"/>
  <c r="H167" i="1"/>
  <c r="I167" i="1"/>
  <c r="J167" i="1"/>
  <c r="B167" i="1"/>
  <c r="C166" i="1"/>
  <c r="D166" i="1"/>
  <c r="E166" i="1"/>
  <c r="F166" i="1"/>
  <c r="G166" i="1"/>
  <c r="H166" i="1"/>
  <c r="I166" i="1"/>
  <c r="J166" i="1"/>
  <c r="B166" i="1"/>
  <c r="C165" i="1"/>
  <c r="D165" i="1"/>
  <c r="E165" i="1"/>
  <c r="F165" i="1"/>
  <c r="G165" i="1"/>
  <c r="H165" i="1"/>
  <c r="I165" i="1"/>
  <c r="J165" i="1"/>
  <c r="B165" i="1"/>
  <c r="C164" i="1"/>
  <c r="D164" i="1"/>
  <c r="E164" i="1"/>
  <c r="F164" i="1"/>
  <c r="G164" i="1"/>
  <c r="H164" i="1"/>
  <c r="I164" i="1"/>
  <c r="J164" i="1"/>
  <c r="B164" i="1"/>
  <c r="C163" i="1"/>
  <c r="D163" i="1"/>
  <c r="E163" i="1"/>
  <c r="F163" i="1"/>
  <c r="G163" i="1"/>
  <c r="H163" i="1"/>
  <c r="I163" i="1"/>
  <c r="J163" i="1"/>
  <c r="B163" i="1"/>
  <c r="C162" i="1"/>
  <c r="D162" i="1"/>
  <c r="E162" i="1"/>
  <c r="F162" i="1"/>
  <c r="G162" i="1"/>
  <c r="H162" i="1"/>
  <c r="I162" i="1"/>
  <c r="J162" i="1"/>
  <c r="B162" i="1"/>
  <c r="C153" i="1"/>
  <c r="D153" i="1"/>
  <c r="E153" i="1"/>
  <c r="F153" i="1"/>
  <c r="G153" i="1"/>
  <c r="H153" i="1"/>
  <c r="I153" i="1"/>
  <c r="J153" i="1"/>
  <c r="B153" i="1"/>
  <c r="J159" i="1"/>
  <c r="C159" i="1"/>
  <c r="D159" i="1"/>
  <c r="E159" i="1"/>
  <c r="F159" i="1"/>
  <c r="H159" i="1"/>
  <c r="I159" i="1"/>
  <c r="B159" i="1"/>
  <c r="C158" i="1"/>
  <c r="D158" i="1"/>
  <c r="E158" i="1"/>
  <c r="F158" i="1"/>
  <c r="G158" i="1"/>
  <c r="H158" i="1"/>
  <c r="I158" i="1"/>
  <c r="J158" i="1"/>
  <c r="B158" i="1"/>
  <c r="C157" i="1"/>
  <c r="D157" i="1"/>
  <c r="E157" i="1"/>
  <c r="F157" i="1"/>
  <c r="G157" i="1"/>
  <c r="H157" i="1"/>
  <c r="I157" i="1"/>
  <c r="J157" i="1"/>
  <c r="B157" i="1"/>
  <c r="C156" i="1"/>
  <c r="D156" i="1"/>
  <c r="E156" i="1"/>
  <c r="F156" i="1"/>
  <c r="G156" i="1"/>
  <c r="H156" i="1"/>
  <c r="I156" i="1"/>
  <c r="J156" i="1"/>
  <c r="B156" i="1"/>
  <c r="C155" i="1"/>
  <c r="D155" i="1"/>
  <c r="E155" i="1"/>
  <c r="F155" i="1"/>
  <c r="G155" i="1"/>
  <c r="H155" i="1"/>
  <c r="I155" i="1"/>
  <c r="J155" i="1"/>
  <c r="B155" i="1"/>
  <c r="C154" i="1"/>
  <c r="D154" i="1"/>
  <c r="E154" i="1"/>
  <c r="F154" i="1"/>
  <c r="G154" i="1"/>
  <c r="H154" i="1"/>
  <c r="I154" i="1"/>
  <c r="J154" i="1"/>
  <c r="B154" i="1"/>
  <c r="D147" i="1"/>
  <c r="E147" i="1"/>
  <c r="F147" i="1"/>
  <c r="G147" i="1"/>
  <c r="H147" i="1"/>
  <c r="I147" i="1"/>
  <c r="J147" i="1"/>
  <c r="D146" i="1"/>
  <c r="E146" i="1"/>
  <c r="F146" i="1"/>
  <c r="G146" i="1"/>
  <c r="H146" i="1"/>
  <c r="I146" i="1"/>
  <c r="J146" i="1"/>
  <c r="D145" i="1"/>
  <c r="E145" i="1"/>
  <c r="F145" i="1"/>
  <c r="G145" i="1"/>
  <c r="H145" i="1"/>
  <c r="I145" i="1"/>
  <c r="J145" i="1"/>
  <c r="D144" i="1"/>
  <c r="E144" i="1"/>
  <c r="F144" i="1"/>
  <c r="G144" i="1"/>
  <c r="H144" i="1"/>
  <c r="I144" i="1"/>
  <c r="J144" i="1"/>
  <c r="C144" i="1"/>
  <c r="H143" i="1"/>
  <c r="I143" i="1"/>
  <c r="J143" i="1"/>
  <c r="C145" i="1"/>
  <c r="C146" i="1"/>
  <c r="C147" i="1"/>
  <c r="C142" i="1"/>
  <c r="D142" i="1"/>
  <c r="E142" i="1"/>
  <c r="F142" i="1"/>
  <c r="G142" i="1"/>
  <c r="H142" i="1"/>
  <c r="I142" i="1"/>
  <c r="J142" i="1"/>
  <c r="C102" i="1"/>
  <c r="F138" i="1"/>
  <c r="F133" i="1"/>
  <c r="E134" i="1"/>
  <c r="E135" i="1"/>
  <c r="E136" i="1"/>
  <c r="E137" i="1"/>
  <c r="E138" i="1"/>
  <c r="E133" i="1"/>
  <c r="F134" i="1"/>
  <c r="G134" i="1"/>
  <c r="H134" i="1"/>
  <c r="I134" i="1"/>
  <c r="J134" i="1"/>
  <c r="F135" i="1"/>
  <c r="G135" i="1"/>
  <c r="H135" i="1"/>
  <c r="I135" i="1"/>
  <c r="J135" i="1"/>
  <c r="F136" i="1"/>
  <c r="G136" i="1"/>
  <c r="H136" i="1"/>
  <c r="I136" i="1"/>
  <c r="J136" i="1"/>
  <c r="F137" i="1"/>
  <c r="G137" i="1"/>
  <c r="H137" i="1"/>
  <c r="I137" i="1"/>
  <c r="J137" i="1"/>
  <c r="G138" i="1"/>
  <c r="H138" i="1"/>
  <c r="I138" i="1"/>
  <c r="J138" i="1"/>
  <c r="D134" i="1"/>
  <c r="D135" i="1"/>
  <c r="D136" i="1"/>
  <c r="D137" i="1"/>
  <c r="D138" i="1"/>
  <c r="C134" i="1"/>
  <c r="C135" i="1"/>
  <c r="C136" i="1"/>
  <c r="C137" i="1"/>
  <c r="C138" i="1"/>
  <c r="J133" i="1"/>
  <c r="I133" i="1"/>
  <c r="H133" i="1"/>
  <c r="G133" i="1"/>
  <c r="D133" i="1"/>
  <c r="C133" i="1"/>
  <c r="B133" i="1"/>
  <c r="B135" i="1"/>
  <c r="B134" i="1"/>
  <c r="B136" i="1"/>
  <c r="B137" i="1"/>
  <c r="B138" i="1"/>
  <c r="B124" i="1"/>
  <c r="J125" i="1"/>
  <c r="J126" i="1"/>
  <c r="J127" i="1"/>
  <c r="J128" i="1"/>
  <c r="J129" i="1"/>
  <c r="I125" i="1"/>
  <c r="I126" i="1"/>
  <c r="I127" i="1"/>
  <c r="I128" i="1"/>
  <c r="I129" i="1"/>
  <c r="H125" i="1"/>
  <c r="H126" i="1"/>
  <c r="H127" i="1"/>
  <c r="H128" i="1"/>
  <c r="H129" i="1"/>
  <c r="G125" i="1"/>
  <c r="G126" i="1"/>
  <c r="G127" i="1"/>
  <c r="G128" i="1"/>
  <c r="G129" i="1"/>
  <c r="F125" i="1"/>
  <c r="F126" i="1"/>
  <c r="F127" i="1"/>
  <c r="F128" i="1"/>
  <c r="F129" i="1"/>
  <c r="E125" i="1"/>
  <c r="E126" i="1"/>
  <c r="E127" i="1"/>
  <c r="E128" i="1"/>
  <c r="E129" i="1"/>
  <c r="D125" i="1"/>
  <c r="D126" i="1"/>
  <c r="D127" i="1"/>
  <c r="D128" i="1"/>
  <c r="D129" i="1"/>
  <c r="J124" i="1"/>
  <c r="I124" i="1"/>
  <c r="H124" i="1"/>
  <c r="G124" i="1"/>
  <c r="F124" i="1"/>
  <c r="E124" i="1"/>
  <c r="D124" i="1"/>
  <c r="C124" i="1"/>
  <c r="C125" i="1"/>
  <c r="C129" i="1"/>
  <c r="C128" i="1"/>
  <c r="C127" i="1"/>
  <c r="C126" i="1"/>
  <c r="B129" i="1"/>
  <c r="B128" i="1"/>
  <c r="B127" i="1"/>
  <c r="B126" i="1"/>
  <c r="B125" i="1"/>
  <c r="D120" i="1"/>
  <c r="E120" i="1"/>
  <c r="F120" i="1"/>
  <c r="G120" i="1"/>
  <c r="H120" i="1"/>
  <c r="I120" i="1"/>
  <c r="J120" i="1"/>
  <c r="C120" i="1"/>
  <c r="C119" i="1"/>
  <c r="D119" i="1"/>
  <c r="E119" i="1"/>
  <c r="F119" i="1"/>
  <c r="G119" i="1"/>
  <c r="H119" i="1"/>
  <c r="I119" i="1"/>
  <c r="J119" i="1"/>
  <c r="B119" i="1"/>
  <c r="C116" i="1"/>
  <c r="D116" i="1"/>
  <c r="E116" i="1"/>
  <c r="F116" i="1"/>
  <c r="G116" i="1"/>
  <c r="H116" i="1"/>
  <c r="I116" i="1"/>
  <c r="J116" i="1"/>
  <c r="B116" i="1"/>
  <c r="C115" i="1"/>
  <c r="D115" i="1"/>
  <c r="E115" i="1"/>
  <c r="F115" i="1"/>
  <c r="G115" i="1"/>
  <c r="H115" i="1"/>
  <c r="I115" i="1"/>
  <c r="J115" i="1"/>
  <c r="B115" i="1"/>
  <c r="C114" i="1"/>
  <c r="D114" i="1"/>
  <c r="E114" i="1"/>
  <c r="F114" i="1"/>
  <c r="G114" i="1"/>
  <c r="H114" i="1"/>
  <c r="I114" i="1"/>
  <c r="J114" i="1"/>
  <c r="B114" i="1"/>
  <c r="H111" i="1"/>
  <c r="I111" i="1"/>
  <c r="I110" i="1"/>
  <c r="J110" i="1"/>
  <c r="J111" i="1"/>
  <c r="D110" i="1"/>
  <c r="E110" i="1"/>
  <c r="F110" i="1"/>
  <c r="G110" i="1"/>
  <c r="H110" i="1"/>
  <c r="D111" i="1"/>
  <c r="E111" i="1"/>
  <c r="F111" i="1"/>
  <c r="G111" i="1"/>
  <c r="C111" i="1"/>
  <c r="C110" i="1"/>
  <c r="C109" i="1"/>
  <c r="D109" i="1"/>
  <c r="E109" i="1"/>
  <c r="F109" i="1"/>
  <c r="G109" i="1"/>
  <c r="H109" i="1"/>
  <c r="I109" i="1"/>
  <c r="J109" i="1"/>
  <c r="B109" i="1"/>
  <c r="J104" i="1"/>
  <c r="D104" i="1"/>
  <c r="E104" i="1"/>
  <c r="F104" i="1"/>
  <c r="G104" i="1"/>
  <c r="H104" i="1"/>
  <c r="I104" i="1"/>
  <c r="C104" i="1"/>
  <c r="C103" i="1"/>
  <c r="D103" i="1"/>
  <c r="E103" i="1"/>
  <c r="F103" i="1"/>
  <c r="G103" i="1"/>
  <c r="H103" i="1"/>
  <c r="I103" i="1"/>
  <c r="J103" i="1"/>
  <c r="D102" i="1"/>
  <c r="E102" i="1"/>
  <c r="F102" i="1"/>
  <c r="G102" i="1"/>
  <c r="H102" i="1"/>
  <c r="I102" i="1"/>
  <c r="C100" i="1"/>
  <c r="D100" i="1"/>
  <c r="E100" i="1"/>
  <c r="F100" i="1"/>
  <c r="G100" i="1"/>
  <c r="H100" i="1"/>
  <c r="I100" i="1"/>
  <c r="B100" i="1"/>
  <c r="C98" i="1"/>
  <c r="D98" i="1"/>
  <c r="E98" i="1"/>
  <c r="F98" i="1"/>
  <c r="G98" i="1"/>
  <c r="H98" i="1"/>
  <c r="I98" i="1"/>
  <c r="J98" i="1"/>
  <c r="B98" i="1"/>
  <c r="G94" i="1"/>
  <c r="J94" i="1"/>
  <c r="K94" i="1" s="1"/>
  <c r="D94" i="1"/>
  <c r="E94" i="1"/>
  <c r="F94" i="1"/>
  <c r="H94" i="1"/>
  <c r="I94" i="1"/>
  <c r="C94" i="1"/>
  <c r="K90" i="1" l="1"/>
  <c r="K62" i="1"/>
  <c r="L67" i="1"/>
  <c r="L90" i="1" s="1"/>
  <c r="C25" i="2"/>
  <c r="M67" i="1"/>
  <c r="L49" i="1"/>
  <c r="N127" i="1"/>
  <c r="O127" i="1" s="1"/>
  <c r="P127" i="1" s="1"/>
  <c r="P12" i="1" s="1"/>
  <c r="M12" i="1"/>
  <c r="O124" i="1"/>
  <c r="N9" i="1"/>
  <c r="M14" i="1"/>
  <c r="P13" i="1"/>
  <c r="O13" i="1"/>
  <c r="L14" i="1"/>
  <c r="O12" i="1"/>
  <c r="L12" i="1"/>
  <c r="N13" i="1"/>
  <c r="N12" i="1"/>
  <c r="K16" i="1"/>
  <c r="K18" i="1" s="1"/>
  <c r="K22" i="1" s="1"/>
  <c r="K26" i="1" s="1"/>
  <c r="M9" i="1"/>
  <c r="M11" i="1"/>
  <c r="L11" i="1"/>
  <c r="H7" i="2"/>
  <c r="G7" i="2"/>
  <c r="F7" i="2"/>
  <c r="E7" i="2"/>
  <c r="K93" i="1"/>
  <c r="L94" i="1"/>
  <c r="C6" i="2"/>
  <c r="D24" i="2" l="1"/>
  <c r="L62" i="1"/>
  <c r="L91" i="1" s="1"/>
  <c r="K91" i="1"/>
  <c r="D25" i="2"/>
  <c r="M90" i="1"/>
  <c r="M91" i="1" s="1"/>
  <c r="E25" i="2"/>
  <c r="N67" i="1"/>
  <c r="M49" i="1"/>
  <c r="O9" i="1"/>
  <c r="P124" i="1"/>
  <c r="P9" i="1" s="1"/>
  <c r="M10" i="1"/>
  <c r="L16" i="1"/>
  <c r="L18" i="1" s="1"/>
  <c r="L22" i="1" s="1"/>
  <c r="L26" i="1" s="1"/>
  <c r="M16" i="1"/>
  <c r="M18" i="1" s="1"/>
  <c r="M22" i="1" s="1"/>
  <c r="M26" i="1" s="1"/>
  <c r="N14" i="1"/>
  <c r="N11" i="1"/>
  <c r="L93" i="1"/>
  <c r="M94" i="1"/>
  <c r="D6" i="2"/>
  <c r="M93" i="1"/>
  <c r="E24" i="2" l="1"/>
  <c r="M62" i="1"/>
  <c r="N90" i="1"/>
  <c r="F25" i="2"/>
  <c r="P67" i="1"/>
  <c r="O67" i="1"/>
  <c r="O90" i="1" s="1"/>
  <c r="O91" i="1" s="1"/>
  <c r="N49" i="1"/>
  <c r="N16" i="1"/>
  <c r="N18" i="1" s="1"/>
  <c r="N22" i="1" s="1"/>
  <c r="N26" i="1" s="1"/>
  <c r="P14" i="1"/>
  <c r="O14" i="1"/>
  <c r="N10" i="1"/>
  <c r="O11" i="1"/>
  <c r="P11" i="1"/>
  <c r="N94" i="1"/>
  <c r="E6" i="2"/>
  <c r="N62" i="1" l="1"/>
  <c r="N91" i="1" s="1"/>
  <c r="F24" i="2"/>
  <c r="G25" i="2"/>
  <c r="H25" i="2"/>
  <c r="P90" i="1"/>
  <c r="P49" i="1"/>
  <c r="O49" i="1"/>
  <c r="P10" i="1"/>
  <c r="P16" i="1" s="1"/>
  <c r="P18" i="1" s="1"/>
  <c r="P22" i="1" s="1"/>
  <c r="O10" i="1"/>
  <c r="O16" i="1" s="1"/>
  <c r="O18" i="1" s="1"/>
  <c r="O22" i="1" s="1"/>
  <c r="O26" i="1" s="1"/>
  <c r="O94" i="1"/>
  <c r="F6" i="2"/>
  <c r="N93" i="1"/>
  <c r="O93" i="1" s="1"/>
  <c r="H24" i="2" l="1"/>
  <c r="P62" i="1"/>
  <c r="P91" i="1" s="1"/>
  <c r="G24" i="2"/>
  <c r="O62" i="1"/>
  <c r="P94" i="1"/>
  <c r="H6" i="2" s="1"/>
  <c r="G6" i="2"/>
  <c r="P93" i="1" l="1"/>
  <c r="C84" i="1" l="1"/>
  <c r="C80" i="1" s="1"/>
  <c r="D84" i="1"/>
  <c r="D80" i="1" s="1"/>
  <c r="E84" i="1"/>
  <c r="F84" i="1"/>
  <c r="F80" i="1" s="1"/>
  <c r="G84" i="1"/>
  <c r="G80" i="1" s="1"/>
  <c r="G90" i="1" s="1"/>
  <c r="H84" i="1"/>
  <c r="H80" i="1" s="1"/>
  <c r="J84" i="1"/>
  <c r="I84" i="1"/>
  <c r="I67" i="1"/>
  <c r="I80" i="1"/>
  <c r="F58" i="1"/>
  <c r="F55" i="1" s="1"/>
  <c r="G58" i="1"/>
  <c r="G55" i="1" s="1"/>
  <c r="H58" i="1"/>
  <c r="H55" i="1" s="1"/>
  <c r="I58" i="1"/>
  <c r="I55" i="1" s="1"/>
  <c r="J58" i="1"/>
  <c r="B55" i="1"/>
  <c r="C49" i="1"/>
  <c r="B49" i="1"/>
  <c r="J44" i="1"/>
  <c r="D27" i="1"/>
  <c r="E27" i="1"/>
  <c r="F27" i="1"/>
  <c r="G27" i="1"/>
  <c r="H27" i="1"/>
  <c r="I27" i="1"/>
  <c r="C27" i="1"/>
  <c r="H3" i="2"/>
  <c r="I3" i="2" s="1"/>
  <c r="J3" i="2" s="1"/>
  <c r="F3" i="2"/>
  <c r="G3" i="2"/>
  <c r="E3" i="2"/>
  <c r="B3" i="2"/>
  <c r="C16" i="1"/>
  <c r="D16" i="1"/>
  <c r="F16" i="1"/>
  <c r="B16" i="1"/>
  <c r="B18" i="1" s="1"/>
  <c r="J16" i="1"/>
  <c r="B6" i="1"/>
  <c r="B84" i="1"/>
  <c r="B80" i="1" s="1"/>
  <c r="E80" i="1"/>
  <c r="H67" i="1"/>
  <c r="G67" i="1"/>
  <c r="F67" i="1"/>
  <c r="E67" i="1"/>
  <c r="D67" i="1"/>
  <c r="C67" i="1"/>
  <c r="B67" i="1"/>
  <c r="E55" i="1"/>
  <c r="D55" i="1"/>
  <c r="C55" i="1"/>
  <c r="I49" i="1"/>
  <c r="H49" i="1"/>
  <c r="G49" i="1"/>
  <c r="F49" i="1"/>
  <c r="E49" i="1"/>
  <c r="D49" i="1"/>
  <c r="I44" i="1"/>
  <c r="H44" i="1"/>
  <c r="F44" i="1"/>
  <c r="E44" i="1"/>
  <c r="D44" i="1"/>
  <c r="C44" i="1"/>
  <c r="B44" i="1"/>
  <c r="I16" i="1"/>
  <c r="H16" i="1"/>
  <c r="G16" i="1"/>
  <c r="E16" i="1"/>
  <c r="J6" i="1"/>
  <c r="J22" i="1" s="1"/>
  <c r="I6" i="1"/>
  <c r="H6" i="1"/>
  <c r="G6" i="1"/>
  <c r="F6" i="1"/>
  <c r="E6" i="1"/>
  <c r="D6" i="1"/>
  <c r="C6" i="1"/>
  <c r="C18" i="1" s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D18" i="1" l="1"/>
  <c r="J91" i="1"/>
  <c r="E18" i="1"/>
  <c r="B90" i="1"/>
  <c r="B62" i="1"/>
  <c r="B91" i="1" s="1"/>
  <c r="H62" i="1"/>
  <c r="G62" i="1"/>
  <c r="G91" i="1" s="1"/>
  <c r="H90" i="1"/>
  <c r="B22" i="1"/>
  <c r="B26" i="1" s="1"/>
  <c r="B28" i="1" s="1"/>
  <c r="B32" i="1" s="1"/>
  <c r="B36" i="1" s="1"/>
  <c r="D22" i="1"/>
  <c r="D26" i="1" s="1"/>
  <c r="D28" i="1" s="1"/>
  <c r="D32" i="1" s="1"/>
  <c r="D36" i="1" s="1"/>
  <c r="C22" i="1"/>
  <c r="C26" i="1" s="1"/>
  <c r="C28" i="1" s="1"/>
  <c r="C32" i="1" s="1"/>
  <c r="C36" i="1" s="1"/>
  <c r="C90" i="1"/>
  <c r="D90" i="1"/>
  <c r="E90" i="1"/>
  <c r="F90" i="1"/>
  <c r="I90" i="1"/>
  <c r="D62" i="1"/>
  <c r="C62" i="1"/>
  <c r="E62" i="1"/>
  <c r="F62" i="1"/>
  <c r="I62" i="1"/>
  <c r="I18" i="1"/>
  <c r="I22" i="1" s="1"/>
  <c r="I26" i="1" s="1"/>
  <c r="I28" i="1" s="1"/>
  <c r="I32" i="1" s="1"/>
  <c r="I36" i="1" s="1"/>
  <c r="H18" i="1"/>
  <c r="H22" i="1" s="1"/>
  <c r="H26" i="1" s="1"/>
  <c r="H28" i="1" s="1"/>
  <c r="H32" i="1" s="1"/>
  <c r="H36" i="1" s="1"/>
  <c r="F18" i="1"/>
  <c r="F22" i="1" s="1"/>
  <c r="F26" i="1" s="1"/>
  <c r="F28" i="1" s="1"/>
  <c r="F32" i="1" s="1"/>
  <c r="F36" i="1" s="1"/>
  <c r="E22" i="1"/>
  <c r="E26" i="1" s="1"/>
  <c r="E28" i="1" s="1"/>
  <c r="E32" i="1" s="1"/>
  <c r="E36" i="1" s="1"/>
  <c r="G18" i="1"/>
  <c r="G22" i="1" s="1"/>
  <c r="G26" i="1" s="1"/>
  <c r="G36" i="1" s="1"/>
  <c r="H91" i="1" l="1"/>
  <c r="E91" i="1"/>
  <c r="C91" i="1"/>
  <c r="D91" i="1"/>
  <c r="F91" i="1"/>
  <c r="I91" i="1"/>
</calcChain>
</file>

<file path=xl/sharedStrings.xml><?xml version="1.0" encoding="utf-8"?>
<sst xmlns="http://schemas.openxmlformats.org/spreadsheetml/2006/main" count="172" uniqueCount="108">
  <si>
    <t>Revenue</t>
  </si>
  <si>
    <t>Gross Revenue from operations</t>
  </si>
  <si>
    <t>Other Income</t>
  </si>
  <si>
    <t>Total Revenue</t>
  </si>
  <si>
    <t>Costs</t>
  </si>
  <si>
    <t>Raw Materials</t>
  </si>
  <si>
    <t>Purchases</t>
  </si>
  <si>
    <t>Changes in Stock in Trade</t>
  </si>
  <si>
    <t>Employee Cost</t>
  </si>
  <si>
    <t>Other Expenses</t>
  </si>
  <si>
    <t>Excise Duty</t>
  </si>
  <si>
    <t>Total Costs</t>
  </si>
  <si>
    <t>Operating Profits</t>
  </si>
  <si>
    <t>Depreciation &amp; Amortization</t>
  </si>
  <si>
    <t>EBIT</t>
  </si>
  <si>
    <t>Interest</t>
  </si>
  <si>
    <t>Profit Before Exceptional Items and Taxes</t>
  </si>
  <si>
    <t>Other/Exceptional Items</t>
  </si>
  <si>
    <t>Profit Before Taxes</t>
  </si>
  <si>
    <t>Taxes</t>
  </si>
  <si>
    <t>Profit Before Minority Interest and Share in Associates</t>
  </si>
  <si>
    <t>Profit for the Year</t>
  </si>
  <si>
    <t>Sources of Funds</t>
  </si>
  <si>
    <t>Shareholder Funds</t>
  </si>
  <si>
    <t>Share Capital</t>
  </si>
  <si>
    <t>Reserves &amp; Surplus</t>
  </si>
  <si>
    <t>Total Equity</t>
  </si>
  <si>
    <t>Long Term Liabilities</t>
  </si>
  <si>
    <t>Lease/Loans</t>
  </si>
  <si>
    <t>Other Long Term Liabilities</t>
  </si>
  <si>
    <t>Long Term Provisions</t>
  </si>
  <si>
    <t>Deferred Tax Liabilities</t>
  </si>
  <si>
    <t>Current Liabilities</t>
  </si>
  <si>
    <t>Short Term Borrowings</t>
  </si>
  <si>
    <t>Trade Payables</t>
  </si>
  <si>
    <t>Other Current Liabilities</t>
  </si>
  <si>
    <t>Short Term Provisions</t>
  </si>
  <si>
    <t>Other Finance Liabilities</t>
  </si>
  <si>
    <t>Total</t>
  </si>
  <si>
    <t>Application Of Funds</t>
  </si>
  <si>
    <t>Long Term Assets</t>
  </si>
  <si>
    <t>Tangible Assets</t>
  </si>
  <si>
    <t>Intangible Assets</t>
  </si>
  <si>
    <t>Rights of Use Assets</t>
  </si>
  <si>
    <t>Capital Work in Progress</t>
  </si>
  <si>
    <t>Intangible Assets Under Development</t>
  </si>
  <si>
    <t>Non-Current Investments</t>
  </si>
  <si>
    <t>Other Financial Assets</t>
  </si>
  <si>
    <t>Long Term Loans and Advances</t>
  </si>
  <si>
    <t>Other Non Current Assets</t>
  </si>
  <si>
    <t>Income Tax Assets</t>
  </si>
  <si>
    <t>Current Assets</t>
  </si>
  <si>
    <t>Inventories</t>
  </si>
  <si>
    <t>Receivables</t>
  </si>
  <si>
    <t>Cash &amp; Bank Balances</t>
  </si>
  <si>
    <t>Loans &amp; Advances</t>
  </si>
  <si>
    <t>Other Current Assets</t>
  </si>
  <si>
    <t>Current Tax Asset</t>
  </si>
  <si>
    <t>Investments</t>
  </si>
  <si>
    <t>check (asset = liabilities) (should be zero)</t>
  </si>
  <si>
    <t>Capacity</t>
  </si>
  <si>
    <t>New Capacity</t>
  </si>
  <si>
    <t>Domestic</t>
  </si>
  <si>
    <t>Exports</t>
  </si>
  <si>
    <t>Capacity Utilization</t>
  </si>
  <si>
    <t>Growth in Domestic Sales</t>
  </si>
  <si>
    <t>Growth in Export Sales</t>
  </si>
  <si>
    <t>Growth in Total Sales</t>
  </si>
  <si>
    <t>Industry Data</t>
  </si>
  <si>
    <t>Domestic Sales</t>
  </si>
  <si>
    <t>Growth in Domestic Market</t>
  </si>
  <si>
    <t>Growth in Exports</t>
  </si>
  <si>
    <t>Market Share</t>
  </si>
  <si>
    <t>Overall</t>
  </si>
  <si>
    <t>Revenue Per Car</t>
  </si>
  <si>
    <t>Growth</t>
  </si>
  <si>
    <t>Cost Drivers</t>
  </si>
  <si>
    <t>Vehicles or Dies for Own Usage</t>
  </si>
  <si>
    <t>Cost Per Car</t>
  </si>
  <si>
    <t>Own Use Vehicles</t>
  </si>
  <si>
    <t>Working Capital Assumptions</t>
  </si>
  <si>
    <t>Tax Liabilities</t>
  </si>
  <si>
    <t>Revenue for Operations</t>
  </si>
  <si>
    <t>Working Capital as % of Sales</t>
  </si>
  <si>
    <t>Total Working Capital</t>
  </si>
  <si>
    <t>Change in Net Working Capital</t>
  </si>
  <si>
    <t>Capex Schedule</t>
  </si>
  <si>
    <t>Tangible</t>
  </si>
  <si>
    <t>Intangible</t>
  </si>
  <si>
    <t>Assets per Car Capacity</t>
  </si>
  <si>
    <t>Capex on Account of New Capacity</t>
  </si>
  <si>
    <t>Capex on Account of Wear and Tear</t>
  </si>
  <si>
    <t>Total Capex</t>
  </si>
  <si>
    <t>Depreciation</t>
  </si>
  <si>
    <t>Depreciation as % of LY Net Fixed Assets</t>
  </si>
  <si>
    <t>Assumptions</t>
  </si>
  <si>
    <t>New capacity increased by 10%</t>
  </si>
  <si>
    <t xml:space="preserve">Assets per Car Capacity increased by 10% </t>
  </si>
  <si>
    <t>Growth in domestic market</t>
  </si>
  <si>
    <t xml:space="preserve">Overall market share </t>
  </si>
  <si>
    <t>Market share growth</t>
  </si>
  <si>
    <t>Other income increased by 2%</t>
  </si>
  <si>
    <t>Tax Rate</t>
  </si>
  <si>
    <t>Reserves &amp; Surplus increased by 2%</t>
  </si>
  <si>
    <t>Long Term Liabilities values increased by 2%</t>
  </si>
  <si>
    <t>Long Term Assets increased by 5%</t>
  </si>
  <si>
    <t>Cash &amp; Bank Balances increased by 5%</t>
  </si>
  <si>
    <t>1. Company &amp; Industry Overview
Brief on Hero MotoCorp
Hero MotoCorp is the largest two-wheeler manufacturer in India based in India, which was formerly a joint venture of Hero Cycles and the Honda Motor Company of Japan. The alliance was terminated in 2011 after Honda disposed of its 26% share to the Munjal family and the company changed its name to Hero MotoCorp in July 2011.
Market Position: Hero MotoCorp company has one of the largest shares in India two-wheeler market standing at about 30% and continues to be the dominant motorcycle manufacturer in India.
Key Products: Hero Splendor and Hero HF Deluxe are the best sellers which have contributed 40% of all sales. Karizma XMR, H-D X440 (Harley-Davidson cooperation) and MAVRICK 440 belong to the premium segment with the contribution of about 25% of revenue. Xtreme and Maestro series are also in the company.
Revenue Sources: Hero MotoCorp has made a revenue of INR 37,455.72 Crores in the year 2024. The Indian domestic market has contributed 95% of the total revenues, motorcycles being the main business and expanding the export to Africa and Latin America.
Industry Trends &amp; Market Dynamics
In 2024-25, the market of the two-wheeler in India hit 19.6 million units, with a growth rate of 9.1% per year. By 2025, the market size is projected to be 31.59 billion with a growth of 2.4% CAGR and by 2030 will be 34.74 billion.
Competitive Landscape: The industry is relatively concentrated as the five leading companies have a market share of 87.94%. Hero MotoCorp had a market share of 35% in November 2024 followed by Honda with 25%, TVS with 16%, and Bajaj with 11.63%. Honda has gained a lot in FY25, and its share has grown to 25.37% compared to 23.36%, whereas Hero has gone down to 28.84% from 30.79%.
Growth Drivers: Electric cars are on spectacular expansion with an estimated growth rate of 21% in the period of 2024 to 2029. Electric two-wheelers had a market of 960,000 units in 2024, and is projected to expand at a CAGR of 28.5% to 11.1 million units by 2033.
Regulatory Trends: Starting April 1, 2020, BS6 emission norms became mandatory, as they were obliged to have onboard diagnostics and stricter control of pollution. BS6 fuel has 5 times lower sulphur concentration and NOx is less by 70% in diesel and 25 percent in petrol engines.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</si>
</sst>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A0A0A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3" borderId="1" xfId="0" applyFont="1" applyFill="1" applyBorder="1"/>
    <xf numFmtId="0" fontId="4" fillId="0" borderId="2" xfId="0" applyFont="1" applyBorder="1"/>
    <xf numFmtId="0" fontId="5" fillId="0" borderId="0" xfId="0" applyFont="1"/>
    <xf numFmtId="3" fontId="6" fillId="0" borderId="0" xfId="0" applyNumberFormat="1" applyFont="1"/>
    <xf numFmtId="0" fontId="2" fillId="0" borderId="2" xfId="0" applyFont="1" applyBorder="1"/>
    <xf numFmtId="0" fontId="4" fillId="0" borderId="3" xfId="0" applyFont="1" applyBorder="1"/>
    <xf numFmtId="3" fontId="7" fillId="0" borderId="4" xfId="0" applyNumberFormat="1" applyFont="1" applyBorder="1"/>
    <xf numFmtId="3" fontId="7" fillId="0" borderId="0" xfId="0" applyNumberFormat="1" applyFont="1"/>
    <xf numFmtId="0" fontId="4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8" fillId="0" borderId="0" xfId="0" applyFont="1"/>
    <xf numFmtId="3" fontId="9" fillId="0" borderId="0" xfId="0" applyNumberFormat="1" applyFont="1"/>
    <xf numFmtId="0" fontId="9" fillId="0" borderId="0" xfId="0" applyFont="1"/>
    <xf numFmtId="3" fontId="10" fillId="0" borderId="0" xfId="0" applyNumberFormat="1" applyFont="1"/>
    <xf numFmtId="0" fontId="10" fillId="0" borderId="0" xfId="0" applyFont="1"/>
    <xf numFmtId="0" fontId="3" fillId="0" borderId="0" xfId="0" applyFont="1"/>
    <xf numFmtId="10" fontId="6" fillId="0" borderId="0" xfId="0" applyNumberFormat="1" applyFont="1"/>
    <xf numFmtId="10" fontId="6" fillId="3" borderId="0" xfId="0" applyNumberFormat="1" applyFont="1" applyFill="1"/>
    <xf numFmtId="0" fontId="6" fillId="4" borderId="0" xfId="0" applyFont="1" applyFill="1"/>
    <xf numFmtId="4" fontId="0" fillId="0" borderId="0" xfId="0" applyNumberFormat="1"/>
    <xf numFmtId="4" fontId="6" fillId="0" borderId="0" xfId="0" applyNumberFormat="1" applyFont="1"/>
    <xf numFmtId="0" fontId="1" fillId="0" borderId="0" xfId="0" applyFont="1"/>
    <xf numFmtId="0" fontId="11" fillId="0" borderId="0" xfId="0" applyFont="1"/>
    <xf numFmtId="2" fontId="0" fillId="0" borderId="0" xfId="0" applyNumberFormat="1"/>
    <xf numFmtId="1" fontId="0" fillId="0" borderId="0" xfId="0" applyNumberFormat="1"/>
    <xf numFmtId="4" fontId="7" fillId="0" borderId="0" xfId="0" applyNumberFormat="1" applyFont="1"/>
    <xf numFmtId="3" fontId="0" fillId="0" borderId="0" xfId="0" applyNumberFormat="1"/>
    <xf numFmtId="0" fontId="3" fillId="5" borderId="1" xfId="0" applyFont="1" applyFill="1" applyBorder="1"/>
    <xf numFmtId="3" fontId="12" fillId="0" borderId="0" xfId="0" applyNumberFormat="1" applyFont="1"/>
    <xf numFmtId="3" fontId="7" fillId="3" borderId="0" xfId="0" applyNumberFormat="1" applyFont="1" applyFill="1"/>
    <xf numFmtId="0" fontId="13" fillId="0" borderId="0" xfId="0" applyFont="1"/>
    <xf numFmtId="10" fontId="7" fillId="0" borderId="0" xfId="0" applyNumberFormat="1" applyFont="1"/>
    <xf numFmtId="164" fontId="0" fillId="0" borderId="0" xfId="0" applyNumberFormat="1"/>
    <xf numFmtId="9" fontId="0" fillId="0" borderId="0" xfId="1" applyFont="1"/>
    <xf numFmtId="10" fontId="0" fillId="0" borderId="0" xfId="1" applyNumberFormat="1" applyFont="1"/>
    <xf numFmtId="4" fontId="13" fillId="0" borderId="0" xfId="0" applyNumberFormat="1" applyFont="1"/>
    <xf numFmtId="3" fontId="13" fillId="0" borderId="0" xfId="0" applyNumberFormat="1" applyFont="1"/>
    <xf numFmtId="10" fontId="13" fillId="0" borderId="0" xfId="1" applyNumberFormat="1" applyFont="1"/>
    <xf numFmtId="1" fontId="13" fillId="0" borderId="0" xfId="1" applyNumberFormat="1" applyFont="1"/>
    <xf numFmtId="1" fontId="13" fillId="6" borderId="0" xfId="0" applyNumberFormat="1" applyFont="1" applyFill="1"/>
    <xf numFmtId="1" fontId="7" fillId="6" borderId="0" xfId="0" applyNumberFormat="1" applyFont="1" applyFill="1"/>
    <xf numFmtId="9" fontId="0" fillId="0" borderId="0" xfId="0" applyNumberFormat="1"/>
    <xf numFmtId="10" fontId="0" fillId="0" borderId="0" xfId="0" applyNumberFormat="1"/>
    <xf numFmtId="10" fontId="7" fillId="3" borderId="0" xfId="0" applyNumberFormat="1" applyFont="1" applyFill="1"/>
    <xf numFmtId="10" fontId="6" fillId="6" borderId="0" xfId="0" applyNumberFormat="1" applyFont="1" applyFill="1"/>
    <xf numFmtId="2" fontId="6" fillId="6" borderId="0" xfId="0" applyNumberFormat="1" applyFont="1" applyFill="1"/>
    <xf numFmtId="165" fontId="6" fillId="6" borderId="0" xfId="0" applyNumberFormat="1" applyFont="1" applyFill="1"/>
    <xf numFmtId="9" fontId="6" fillId="6" borderId="0" xfId="1" applyFont="1" applyFill="1"/>
    <xf numFmtId="10" fontId="0" fillId="6" borderId="0" xfId="0" applyNumberFormat="1" applyFill="1"/>
    <xf numFmtId="9" fontId="13" fillId="6" borderId="0" xfId="0" applyNumberFormat="1" applyFont="1" applyFill="1"/>
    <xf numFmtId="10" fontId="13" fillId="6" borderId="0" xfId="0" applyNumberFormat="1" applyFont="1" applyFill="1"/>
    <xf numFmtId="10" fontId="0" fillId="6" borderId="0" xfId="1" applyNumberFormat="1" applyFont="1" applyFill="1"/>
    <xf numFmtId="3" fontId="6" fillId="6" borderId="0" xfId="0" applyNumberFormat="1" applyFont="1" applyFill="1"/>
    <xf numFmtId="3" fontId="7" fillId="6" borderId="4" xfId="0" applyNumberFormat="1" applyFont="1" applyFill="1" applyBorder="1"/>
    <xf numFmtId="0" fontId="1" fillId="0" borderId="2" xfId="0" applyFont="1" applyBorder="1"/>
    <xf numFmtId="4" fontId="7" fillId="6" borderId="0" xfId="0" applyNumberFormat="1" applyFont="1" applyFill="1"/>
    <xf numFmtId="3" fontId="0" fillId="6" borderId="0" xfId="0" applyNumberFormat="1" applyFill="1"/>
    <xf numFmtId="0" fontId="1" fillId="0" borderId="0" xfId="0" applyFont="1" applyAlignment="1">
      <alignment horizontal="left"/>
    </xf>
    <xf numFmtId="0" fontId="11" fillId="0" borderId="0" xfId="0" applyFont="1" applyAlignment="1">
      <alignment horizontal="left" wrapText="1"/>
    </xf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Model!$A$36</c:f>
              <c:strCache>
                <c:ptCount val="1"/>
                <c:pt idx="0">
                  <c:v>Profit for the Year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Model!$F$1:$P$1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Model!$B$36:$P$36</c:f>
              <c:numCache>
                <c:formatCode>#,##0</c:formatCode>
                <c:ptCount val="15"/>
                <c:pt idx="0">
                  <c:v>3160.1900000000005</c:v>
                </c:pt>
                <c:pt idx="1">
                  <c:v>3369.8999999999969</c:v>
                </c:pt>
                <c:pt idx="2">
                  <c:v>3775.1900000000014</c:v>
                </c:pt>
                <c:pt idx="3">
                  <c:v>3743.2200000000057</c:v>
                </c:pt>
                <c:pt idx="4">
                  <c:v>2993.2900000000009</c:v>
                </c:pt>
                <c:pt idx="5">
                  <c:v>3077.4749999999999</c:v>
                </c:pt>
                <c:pt idx="6">
                  <c:v>2548.6655000000042</c:v>
                </c:pt>
                <c:pt idx="7">
                  <c:v>2949.2980500000067</c:v>
                </c:pt>
                <c:pt idx="8">
                  <c:v>3964.7600000000034</c:v>
                </c:pt>
                <c:pt idx="9">
                  <c:v>4432.5743253913606</c:v>
                </c:pt>
                <c:pt idx="10">
                  <c:v>4564.8682119555942</c:v>
                </c:pt>
                <c:pt idx="11">
                  <c:v>4553.8086016546558</c:v>
                </c:pt>
                <c:pt idx="12">
                  <c:v>4331.099695083406</c:v>
                </c:pt>
                <c:pt idx="13">
                  <c:v>3805.4331722063125</c:v>
                </c:pt>
                <c:pt idx="14">
                  <c:v>2855.6736933671009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D-4B06-AAEA-27969E0DF6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288074816"/>
        <c:axId val="288070496"/>
      </c:barChart>
      <c:catAx>
        <c:axId val="28807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070496"/>
        <c:crosses val="autoZero"/>
        <c:auto val="1"/>
        <c:lblAlgn val="ctr"/>
        <c:lblOffset val="100"/>
        <c:noMultiLvlLbl val="0"/>
      </c:catAx>
      <c:valAx>
        <c:axId val="28807049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07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Forecasted Capex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Model!$A$202</c:f>
              <c:strCache>
                <c:ptCount val="1"/>
                <c:pt idx="0">
                  <c:v>Total Capex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Model!$K$1:$P$1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Model!$K$202:$P$202</c:f>
              <c:numCache>
                <c:formatCode>0</c:formatCode>
                <c:ptCount val="6"/>
                <c:pt idx="0">
                  <c:v>957.00050214285716</c:v>
                </c:pt>
                <c:pt idx="1">
                  <c:v>1133.1396926142857</c:v>
                </c:pt>
                <c:pt idx="2">
                  <c:v>1192.5725941328569</c:v>
                </c:pt>
                <c:pt idx="3">
                  <c:v>1257.9487858032858</c:v>
                </c:pt>
                <c:pt idx="4">
                  <c:v>1329.8625966407571</c:v>
                </c:pt>
                <c:pt idx="5">
                  <c:v>1408.9677885619758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B-41B2-9502-585ECA3E5D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359289424"/>
        <c:axId val="359290864"/>
      </c:barChart>
      <c:catAx>
        <c:axId val="359289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90864"/>
        <c:crosses val="autoZero"/>
        <c:auto val="1"/>
        <c:lblAlgn val="ctr"/>
        <c:lblOffset val="100"/>
        <c:noMultiLvlLbl val="0"/>
      </c:catAx>
      <c:valAx>
        <c:axId val="35929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8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10894</xdr:colOff>
      <xdr:row>16</xdr:row>
      <xdr:rowOff>125185</xdr:rowOff>
    </xdr:from>
    <xdr:to>
      <xdr:col>28</xdr:col>
      <xdr:colOff>413657</xdr:colOff>
      <xdr:row>44</xdr:row>
      <xdr:rowOff>185056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83932E-5D49-B159-CD36-F24F8E141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28176</xdr:colOff>
      <xdr:row>194</xdr:row>
      <xdr:rowOff>68517</xdr:rowOff>
    </xdr:from>
    <xdr:to>
      <xdr:col>26</xdr:col>
      <xdr:colOff>44825</xdr:colOff>
      <xdr:row>217</xdr:row>
      <xdr:rowOff>28175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0027A9-EE1D-1743-E39C-57AED8398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7"/>
  <sheetViews>
    <sheetView zoomScale="70" zoomScaleNormal="70" workbookViewId="0">
      <pane xSplit="1" ySplit="1" topLeftCell="B65" activePane="bottomRight" state="frozen"/>
      <selection pane="topRight" activeCell="B1" sqref="B1"/>
      <selection pane="bottomLeft" activeCell="A2" sqref="A2"/>
      <selection pane="bottomRight" activeCell="S8" sqref="S8"/>
    </sheetView>
  </sheetViews>
  <sheetFormatPr defaultColWidth="12.6640625" defaultRowHeight="15.75" customHeight="1" x14ac:dyDescent="0.25"/>
  <cols>
    <col min="1" max="1" width="54.88671875" bestFit="1" customWidth="1"/>
    <col min="2" max="16" width="11.33203125" bestFit="1" customWidth="1"/>
  </cols>
  <sheetData>
    <row r="1" spans="1:16" x14ac:dyDescent="0.25">
      <c r="A1" s="1"/>
      <c r="B1" s="2">
        <v>2016</v>
      </c>
      <c r="C1" s="2">
        <f t="shared" ref="C1:P1" si="0">B1+1</f>
        <v>2017</v>
      </c>
      <c r="D1" s="2">
        <f t="shared" si="0"/>
        <v>2018</v>
      </c>
      <c r="E1" s="2">
        <f t="shared" si="0"/>
        <v>2019</v>
      </c>
      <c r="F1" s="2">
        <f t="shared" si="0"/>
        <v>2020</v>
      </c>
      <c r="G1" s="31">
        <f t="shared" si="0"/>
        <v>2021</v>
      </c>
      <c r="H1" s="2">
        <f t="shared" si="0"/>
        <v>2022</v>
      </c>
      <c r="I1" s="2">
        <f t="shared" si="0"/>
        <v>2023</v>
      </c>
      <c r="J1" s="2">
        <f t="shared" si="0"/>
        <v>2024</v>
      </c>
      <c r="K1" s="3">
        <f t="shared" si="0"/>
        <v>2025</v>
      </c>
      <c r="L1" s="3">
        <f t="shared" si="0"/>
        <v>2026</v>
      </c>
      <c r="M1" s="3">
        <f t="shared" si="0"/>
        <v>2027</v>
      </c>
      <c r="N1" s="3">
        <f t="shared" si="0"/>
        <v>2028</v>
      </c>
      <c r="O1" s="3">
        <f t="shared" si="0"/>
        <v>2029</v>
      </c>
      <c r="P1" s="3">
        <f t="shared" si="0"/>
        <v>2030</v>
      </c>
    </row>
    <row r="2" spans="1:16" x14ac:dyDescent="0.25">
      <c r="A2" s="4" t="s">
        <v>0</v>
      </c>
      <c r="B2" s="5"/>
      <c r="C2" s="5"/>
      <c r="D2" s="5"/>
      <c r="E2" s="5"/>
      <c r="F2" s="5"/>
      <c r="G2" s="5"/>
      <c r="H2" s="5"/>
      <c r="I2" s="5"/>
    </row>
    <row r="3" spans="1:16" x14ac:dyDescent="0.25">
      <c r="A3" s="1" t="s">
        <v>1</v>
      </c>
      <c r="B3" s="6">
        <v>30700.880000000001</v>
      </c>
      <c r="C3" s="6">
        <v>30958.19</v>
      </c>
      <c r="D3" s="6">
        <v>33100.94</v>
      </c>
      <c r="E3" s="6">
        <v>33972.230000000003</v>
      </c>
      <c r="F3" s="6">
        <v>28836.09</v>
      </c>
      <c r="G3" s="6">
        <v>30959.19</v>
      </c>
      <c r="H3" s="6">
        <v>29245.47</v>
      </c>
      <c r="I3" s="6">
        <v>33805.65</v>
      </c>
      <c r="J3" s="6">
        <v>37455.72</v>
      </c>
      <c r="K3" s="56">
        <f>(K98*K119)/(10^6)</f>
        <v>50593.039357528287</v>
      </c>
      <c r="L3" s="56">
        <f t="shared" ref="L3:P3" si="1">(L98*L119)/(10^6)</f>
        <v>60930.327620809156</v>
      </c>
      <c r="M3" s="56">
        <f t="shared" si="1"/>
        <v>73387.31725372764</v>
      </c>
      <c r="N3" s="56">
        <f t="shared" si="1"/>
        <v>88400.026675298926</v>
      </c>
      <c r="O3" s="56">
        <f t="shared" si="1"/>
        <v>106494.40807126497</v>
      </c>
      <c r="P3" s="56">
        <f t="shared" si="1"/>
        <v>128304.94130947439</v>
      </c>
    </row>
    <row r="4" spans="1:16" x14ac:dyDescent="0.25">
      <c r="A4" s="1" t="s">
        <v>2</v>
      </c>
      <c r="B4" s="6">
        <v>422.43</v>
      </c>
      <c r="C4" s="6">
        <v>521.95000000000005</v>
      </c>
      <c r="D4" s="6">
        <v>523.16999999999996</v>
      </c>
      <c r="E4" s="6">
        <v>691.25</v>
      </c>
      <c r="F4" s="6">
        <v>778.34</v>
      </c>
      <c r="G4" s="6">
        <v>557.9</v>
      </c>
      <c r="H4" s="6">
        <v>556.91</v>
      </c>
      <c r="I4" s="6">
        <v>565.16</v>
      </c>
      <c r="J4" s="6">
        <v>892.55</v>
      </c>
      <c r="K4" s="56">
        <f>J4+(J4*2%)</f>
        <v>910.40099999999995</v>
      </c>
      <c r="L4" s="56">
        <f t="shared" ref="L4:P4" si="2">K4+(K4*2%)</f>
        <v>928.60901999999999</v>
      </c>
      <c r="M4" s="56">
        <f t="shared" si="2"/>
        <v>947.18120039999997</v>
      </c>
      <c r="N4" s="56">
        <f t="shared" si="2"/>
        <v>966.12482440799999</v>
      </c>
      <c r="O4" s="56">
        <f t="shared" si="2"/>
        <v>985.44732089616002</v>
      </c>
      <c r="P4" s="56">
        <f t="shared" si="2"/>
        <v>1005.1562673140833</v>
      </c>
    </row>
    <row r="5" spans="1:16" x14ac:dyDescent="0.25">
      <c r="A5" s="7"/>
    </row>
    <row r="6" spans="1:16" x14ac:dyDescent="0.25">
      <c r="A6" s="8" t="s">
        <v>3</v>
      </c>
      <c r="B6" s="9">
        <f t="shared" ref="B6:P6" si="3">SUM(B3:B4)</f>
        <v>31123.31</v>
      </c>
      <c r="C6" s="9">
        <f t="shared" si="3"/>
        <v>31480.14</v>
      </c>
      <c r="D6" s="9">
        <f t="shared" si="3"/>
        <v>33624.11</v>
      </c>
      <c r="E6" s="9">
        <f t="shared" si="3"/>
        <v>34663.480000000003</v>
      </c>
      <c r="F6" s="9">
        <f t="shared" si="3"/>
        <v>29614.43</v>
      </c>
      <c r="G6" s="9">
        <f t="shared" si="3"/>
        <v>31517.09</v>
      </c>
      <c r="H6" s="9">
        <f t="shared" si="3"/>
        <v>29802.38</v>
      </c>
      <c r="I6" s="9">
        <f t="shared" si="3"/>
        <v>34370.810000000005</v>
      </c>
      <c r="J6" s="9">
        <f t="shared" si="3"/>
        <v>38348.270000000004</v>
      </c>
      <c r="K6" s="57">
        <f t="shared" si="3"/>
        <v>51503.440357528285</v>
      </c>
      <c r="L6" s="57">
        <f t="shared" si="3"/>
        <v>61858.936640809159</v>
      </c>
      <c r="M6" s="57">
        <f t="shared" si="3"/>
        <v>74334.498454127635</v>
      </c>
      <c r="N6" s="57">
        <f t="shared" si="3"/>
        <v>89366.151499706932</v>
      </c>
      <c r="O6" s="57">
        <f t="shared" si="3"/>
        <v>107479.85539216113</v>
      </c>
      <c r="P6" s="57">
        <f t="shared" si="3"/>
        <v>129310.09757678848</v>
      </c>
    </row>
    <row r="7" spans="1:16" x14ac:dyDescent="0.25">
      <c r="A7" s="7"/>
    </row>
    <row r="8" spans="1:16" x14ac:dyDescent="0.25">
      <c r="A8" s="4" t="s">
        <v>4</v>
      </c>
    </row>
    <row r="9" spans="1:16" x14ac:dyDescent="0.25">
      <c r="A9" s="1" t="s">
        <v>5</v>
      </c>
      <c r="B9" s="6">
        <v>19321.72</v>
      </c>
      <c r="C9" s="6">
        <v>18993.87</v>
      </c>
      <c r="D9" s="6">
        <v>21995.94</v>
      </c>
      <c r="E9" s="6">
        <v>23346.1</v>
      </c>
      <c r="F9" s="6">
        <v>19867.189999999999</v>
      </c>
      <c r="G9" s="6">
        <v>21968.04</v>
      </c>
      <c r="H9" s="6">
        <v>20708.07</v>
      </c>
      <c r="I9" s="6">
        <v>24019.73</v>
      </c>
      <c r="J9" s="6">
        <v>24767.46</v>
      </c>
      <c r="K9" s="27">
        <f>$K$3*K124</f>
        <v>34123.554430066426</v>
      </c>
      <c r="L9" s="27">
        <f>$L$3*L124</f>
        <v>41917.674149677303</v>
      </c>
      <c r="M9" s="27">
        <f>$M$3*M124</f>
        <v>51497.346016507305</v>
      </c>
      <c r="N9" s="27">
        <f>$N$3*N124</f>
        <v>63272.705292436804</v>
      </c>
      <c r="O9" s="27">
        <f>$O$3*O124</f>
        <v>77748.314583369152</v>
      </c>
      <c r="P9" s="27">
        <f>$P$3*P124</f>
        <v>95544.949097339631</v>
      </c>
    </row>
    <row r="10" spans="1:16" x14ac:dyDescent="0.25">
      <c r="A10" s="1" t="s">
        <v>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31.14</v>
      </c>
      <c r="H10" s="6">
        <v>45.95</v>
      </c>
      <c r="I10" s="6">
        <v>47.43</v>
      </c>
      <c r="J10" s="6">
        <v>484.2</v>
      </c>
      <c r="K10" s="27">
        <f>$K$3*K125</f>
        <v>667.11019438562391</v>
      </c>
      <c r="L10" s="27">
        <f t="shared" ref="L10:L14" si="4">$L$3*L125</f>
        <v>819.48402554294046</v>
      </c>
      <c r="M10" s="27">
        <f t="shared" ref="M10:M14" si="5">$M$3*M125</f>
        <v>1006.7651241262868</v>
      </c>
      <c r="N10" s="27">
        <f t="shared" ref="N10:N14" si="6">$N$3*N125</f>
        <v>1236.9715708674973</v>
      </c>
      <c r="O10" s="27">
        <f t="shared" ref="O10:O14" si="7">$O$3*O125</f>
        <v>1519.9674864224005</v>
      </c>
      <c r="P10" s="27">
        <f t="shared" ref="P10:P14" si="8">$P$3*P125</f>
        <v>1867.8889297865767</v>
      </c>
    </row>
    <row r="11" spans="1:16" x14ac:dyDescent="0.25">
      <c r="A11" s="1" t="s">
        <v>7</v>
      </c>
      <c r="B11" s="6">
        <v>-11.88</v>
      </c>
      <c r="C11" s="6">
        <v>96.74</v>
      </c>
      <c r="D11" s="6">
        <v>-110.12</v>
      </c>
      <c r="E11" s="6">
        <v>-28.38</v>
      </c>
      <c r="F11" s="6">
        <v>-169.78</v>
      </c>
      <c r="G11" s="6">
        <v>-255.57</v>
      </c>
      <c r="H11" s="6">
        <v>72.709999999999994</v>
      </c>
      <c r="I11" s="6">
        <v>-209.04</v>
      </c>
      <c r="J11" s="6">
        <v>179.11</v>
      </c>
      <c r="K11" s="27">
        <f>$K$3*K126</f>
        <v>246.77015059150989</v>
      </c>
      <c r="L11" s="27">
        <f t="shared" si="4"/>
        <v>303.13462167491952</v>
      </c>
      <c r="M11" s="27">
        <f t="shared" si="5"/>
        <v>372.41160962878809</v>
      </c>
      <c r="N11" s="27">
        <f t="shared" si="6"/>
        <v>457.56707570854491</v>
      </c>
      <c r="O11" s="27">
        <f t="shared" si="7"/>
        <v>562.24984818900475</v>
      </c>
      <c r="P11" s="27">
        <f t="shared" si="8"/>
        <v>690.94916607615403</v>
      </c>
    </row>
    <row r="12" spans="1:16" x14ac:dyDescent="0.25">
      <c r="A12" s="1" t="s">
        <v>8</v>
      </c>
      <c r="B12" s="6">
        <v>1315.93</v>
      </c>
      <c r="C12" s="6">
        <v>1432.49</v>
      </c>
      <c r="D12" s="6">
        <v>1583.71</v>
      </c>
      <c r="E12" s="6">
        <v>1730.24</v>
      </c>
      <c r="F12" s="6">
        <v>1841.7</v>
      </c>
      <c r="G12" s="6">
        <v>1951.02</v>
      </c>
      <c r="H12" s="6">
        <v>1935.44</v>
      </c>
      <c r="I12" s="6">
        <v>2189.83</v>
      </c>
      <c r="J12" s="6">
        <v>2402.34</v>
      </c>
      <c r="K12" s="27">
        <f t="shared" ref="K12:K14" si="9">$K$3*K127</f>
        <v>3309.8420164815357</v>
      </c>
      <c r="L12" s="27">
        <f t="shared" si="4"/>
        <v>4065.8390209062936</v>
      </c>
      <c r="M12" s="27">
        <f t="shared" si="5"/>
        <v>4995.0271133695651</v>
      </c>
      <c r="N12" s="27">
        <f t="shared" si="6"/>
        <v>6137.1876983845996</v>
      </c>
      <c r="O12" s="27">
        <f t="shared" si="7"/>
        <v>7541.2612377777559</v>
      </c>
      <c r="P12" s="27">
        <f t="shared" si="8"/>
        <v>9267.4603295817524</v>
      </c>
    </row>
    <row r="13" spans="1:16" x14ac:dyDescent="0.25">
      <c r="A13" s="1" t="s">
        <v>9</v>
      </c>
      <c r="B13" s="6">
        <v>3361.96</v>
      </c>
      <c r="C13" s="6">
        <v>3485.89</v>
      </c>
      <c r="D13" s="6">
        <v>3663.79</v>
      </c>
      <c r="E13" s="6">
        <v>3672.49</v>
      </c>
      <c r="F13" s="6">
        <v>3339.02</v>
      </c>
      <c r="G13" s="6">
        <v>3165.05</v>
      </c>
      <c r="H13" s="6">
        <v>3114.53</v>
      </c>
      <c r="I13" s="6">
        <v>3771.47</v>
      </c>
      <c r="J13" s="6">
        <v>4366.8999999999996</v>
      </c>
      <c r="K13" s="27">
        <f t="shared" si="9"/>
        <v>6016.5293429627854</v>
      </c>
      <c r="L13" s="27">
        <f t="shared" si="4"/>
        <v>7390.7575199162866</v>
      </c>
      <c r="M13" s="27">
        <f t="shared" si="5"/>
        <v>9079.8071469373826</v>
      </c>
      <c r="N13" s="27">
        <f t="shared" si="6"/>
        <v>11155.991641514402</v>
      </c>
      <c r="O13" s="27">
        <f t="shared" si="7"/>
        <v>13708.273474717018</v>
      </c>
      <c r="P13" s="27">
        <f t="shared" si="8"/>
        <v>16846.1052612247</v>
      </c>
    </row>
    <row r="14" spans="1:16" x14ac:dyDescent="0.25">
      <c r="A14" s="25" t="s">
        <v>10</v>
      </c>
      <c r="B14" s="6">
        <v>2258.1799999999998</v>
      </c>
      <c r="C14" s="6">
        <v>2371.13</v>
      </c>
      <c r="D14" s="6">
        <v>642.57000000000005</v>
      </c>
      <c r="E14" s="24">
        <v>1.41</v>
      </c>
      <c r="F14" s="24">
        <v>1.35</v>
      </c>
      <c r="G14" s="24">
        <v>2.91</v>
      </c>
      <c r="H14" s="24">
        <v>13.16</v>
      </c>
      <c r="I14" s="24">
        <v>9.43</v>
      </c>
      <c r="J14" s="24">
        <v>3.19</v>
      </c>
      <c r="K14" s="27">
        <f t="shared" si="9"/>
        <v>4.3950465098928957</v>
      </c>
      <c r="L14" s="27">
        <f t="shared" si="4"/>
        <v>5.3989137577075166</v>
      </c>
      <c r="M14" s="27">
        <f t="shared" si="5"/>
        <v>6.6327566005015584</v>
      </c>
      <c r="N14" s="27">
        <f t="shared" si="6"/>
        <v>8.1493996511097002</v>
      </c>
      <c r="O14" s="27">
        <f t="shared" si="7"/>
        <v>10.013829578041012</v>
      </c>
      <c r="P14" s="27">
        <f t="shared" si="8"/>
        <v>12.306001003757084</v>
      </c>
    </row>
    <row r="15" spans="1:16" x14ac:dyDescent="0.25">
      <c r="A15" s="7"/>
    </row>
    <row r="16" spans="1:16" x14ac:dyDescent="0.25">
      <c r="A16" s="8" t="s">
        <v>11</v>
      </c>
      <c r="B16" s="9">
        <f t="shared" ref="B16:I16" si="10">SUM(B9:B14)</f>
        <v>26245.91</v>
      </c>
      <c r="C16" s="9">
        <f t="shared" si="10"/>
        <v>26380.120000000003</v>
      </c>
      <c r="D16" s="9">
        <f t="shared" si="10"/>
        <v>27775.89</v>
      </c>
      <c r="E16" s="9">
        <f t="shared" si="10"/>
        <v>28721.859999999997</v>
      </c>
      <c r="F16" s="9">
        <f t="shared" si="10"/>
        <v>24879.48</v>
      </c>
      <c r="G16" s="9">
        <f t="shared" si="10"/>
        <v>26862.59</v>
      </c>
      <c r="H16" s="9">
        <f t="shared" si="10"/>
        <v>25889.859999999997</v>
      </c>
      <c r="I16" s="9">
        <f t="shared" si="10"/>
        <v>29828.85</v>
      </c>
      <c r="J16" s="9">
        <f>SUM(J9:J14)</f>
        <v>32203.200000000001</v>
      </c>
      <c r="K16" s="57">
        <f t="shared" ref="K16:P16" si="11">SUM(K9:K14)</f>
        <v>44368.20118099777</v>
      </c>
      <c r="L16" s="57">
        <f>SUM(L9:L14)</f>
        <v>54502.288251475453</v>
      </c>
      <c r="M16" s="57">
        <f t="shared" si="11"/>
        <v>66957.989767169842</v>
      </c>
      <c r="N16" s="57">
        <f t="shared" si="11"/>
        <v>82268.572678562952</v>
      </c>
      <c r="O16" s="57">
        <f t="shared" si="11"/>
        <v>101090.08046005337</v>
      </c>
      <c r="P16" s="57">
        <f t="shared" si="11"/>
        <v>124229.65878501258</v>
      </c>
    </row>
    <row r="17" spans="1:16" x14ac:dyDescent="0.25">
      <c r="A17" s="7"/>
    </row>
    <row r="18" spans="1:16" x14ac:dyDescent="0.25">
      <c r="A18" s="4" t="s">
        <v>12</v>
      </c>
      <c r="B18" s="6">
        <f>B6-B16</f>
        <v>4877.4000000000015</v>
      </c>
      <c r="C18" s="6">
        <f>C6-C16</f>
        <v>5100.0199999999968</v>
      </c>
      <c r="D18" s="6">
        <f>D6-D16</f>
        <v>5848.2200000000012</v>
      </c>
      <c r="E18" s="6">
        <f>E6-E16</f>
        <v>5941.6200000000063</v>
      </c>
      <c r="F18" s="6">
        <f t="shared" ref="F18:I18" si="12">F6-F16</f>
        <v>4734.9500000000007</v>
      </c>
      <c r="G18" s="6">
        <f t="shared" si="12"/>
        <v>4654.5</v>
      </c>
      <c r="H18" s="6">
        <f t="shared" si="12"/>
        <v>3912.5200000000041</v>
      </c>
      <c r="I18" s="6">
        <f t="shared" si="12"/>
        <v>4541.9600000000064</v>
      </c>
      <c r="J18" s="6">
        <f>J6-J16</f>
        <v>6145.0700000000033</v>
      </c>
      <c r="K18" s="6">
        <f>K6-K16</f>
        <v>7135.2391765305147</v>
      </c>
      <c r="L18" s="6">
        <f>L6-L16</f>
        <v>7356.6483893337063</v>
      </c>
      <c r="M18" s="6">
        <f t="shared" ref="M18:P18" si="13">M6-M16</f>
        <v>7376.5086869577935</v>
      </c>
      <c r="N18" s="6">
        <f t="shared" si="13"/>
        <v>7097.5788211439794</v>
      </c>
      <c r="O18" s="6">
        <f t="shared" si="13"/>
        <v>6389.7749321077572</v>
      </c>
      <c r="P18" s="6">
        <f t="shared" si="13"/>
        <v>5080.4387917759013</v>
      </c>
    </row>
    <row r="19" spans="1:16" x14ac:dyDescent="0.25">
      <c r="A19" s="7"/>
    </row>
    <row r="20" spans="1:16" x14ac:dyDescent="0.25">
      <c r="A20" s="1" t="s">
        <v>13</v>
      </c>
      <c r="B20" s="6">
        <v>437.64</v>
      </c>
      <c r="C20" s="6">
        <v>492.73</v>
      </c>
      <c r="D20" s="6">
        <v>574.98</v>
      </c>
      <c r="E20" s="6">
        <v>624.44000000000005</v>
      </c>
      <c r="F20" s="6">
        <v>845.76</v>
      </c>
      <c r="G20" s="6">
        <v>715.12</v>
      </c>
      <c r="H20" s="6">
        <v>689.52</v>
      </c>
      <c r="I20" s="6">
        <v>697.39</v>
      </c>
      <c r="J20" s="6">
        <v>711.41</v>
      </c>
      <c r="K20" s="28">
        <f>K204</f>
        <v>862.9901402571428</v>
      </c>
      <c r="L20" s="28">
        <f t="shared" ref="L20:P20" si="14">L204</f>
        <v>895.40808653999977</v>
      </c>
      <c r="M20" s="28">
        <f t="shared" si="14"/>
        <v>931.06782745114265</v>
      </c>
      <c r="N20" s="28">
        <f t="shared" si="14"/>
        <v>970.29354245339994</v>
      </c>
      <c r="O20" s="28">
        <f t="shared" si="14"/>
        <v>1013.4418289558828</v>
      </c>
      <c r="P20" s="28">
        <f t="shared" si="14"/>
        <v>1060.904944108614</v>
      </c>
    </row>
    <row r="21" spans="1:16" x14ac:dyDescent="0.25">
      <c r="A21" s="7"/>
    </row>
    <row r="22" spans="1:16" x14ac:dyDescent="0.25">
      <c r="A22" s="4" t="s">
        <v>14</v>
      </c>
      <c r="B22" s="10">
        <f t="shared" ref="B22:I22" si="15">B18-B20</f>
        <v>4439.7600000000011</v>
      </c>
      <c r="C22" s="10">
        <f t="shared" si="15"/>
        <v>4607.2899999999972</v>
      </c>
      <c r="D22" s="10">
        <f t="shared" si="15"/>
        <v>5273.2400000000016</v>
      </c>
      <c r="E22" s="10">
        <f t="shared" si="15"/>
        <v>5317.1800000000057</v>
      </c>
      <c r="F22" s="10">
        <f t="shared" si="15"/>
        <v>3889.1900000000005</v>
      </c>
      <c r="G22" s="10">
        <f t="shared" si="15"/>
        <v>3939.38</v>
      </c>
      <c r="H22" s="10">
        <f t="shared" si="15"/>
        <v>3223.0000000000041</v>
      </c>
      <c r="I22" s="10">
        <f t="shared" si="15"/>
        <v>3844.5700000000065</v>
      </c>
      <c r="J22" s="10">
        <f>J18-J20</f>
        <v>5433.6600000000035</v>
      </c>
      <c r="K22" s="10">
        <f t="shared" ref="K22:P22" si="16">K18-K20</f>
        <v>6272.2490362733715</v>
      </c>
      <c r="L22" s="10">
        <f t="shared" si="16"/>
        <v>6461.2403027937062</v>
      </c>
      <c r="M22" s="10">
        <f t="shared" si="16"/>
        <v>6445.4408595066507</v>
      </c>
      <c r="N22" s="10">
        <f t="shared" si="16"/>
        <v>6127.2852786905796</v>
      </c>
      <c r="O22" s="10">
        <f t="shared" si="16"/>
        <v>5376.3331031518746</v>
      </c>
      <c r="P22" s="10">
        <f t="shared" si="16"/>
        <v>4019.5338476672873</v>
      </c>
    </row>
    <row r="23" spans="1:16" x14ac:dyDescent="0.25">
      <c r="A23" s="7"/>
    </row>
    <row r="24" spans="1:16" x14ac:dyDescent="0.25">
      <c r="A24" s="1" t="s">
        <v>15</v>
      </c>
      <c r="B24" s="24">
        <v>4.8899999999999997</v>
      </c>
      <c r="C24" s="24">
        <v>6.05</v>
      </c>
      <c r="D24" s="24">
        <v>6.25</v>
      </c>
      <c r="E24" s="24">
        <v>8.6</v>
      </c>
      <c r="F24" s="24">
        <v>22.02</v>
      </c>
      <c r="G24" s="24">
        <v>21.84</v>
      </c>
      <c r="H24" s="24">
        <v>25.8</v>
      </c>
      <c r="I24" s="24">
        <v>19.87</v>
      </c>
      <c r="J24" s="24">
        <v>18.5</v>
      </c>
      <c r="K24" s="24">
        <v>20</v>
      </c>
      <c r="L24" s="24">
        <v>20</v>
      </c>
      <c r="M24" s="24">
        <v>20</v>
      </c>
      <c r="N24" s="24">
        <v>20</v>
      </c>
      <c r="O24" s="24">
        <v>20</v>
      </c>
      <c r="P24" s="24">
        <v>20</v>
      </c>
    </row>
    <row r="25" spans="1:16" x14ac:dyDescent="0.25">
      <c r="A25" s="7"/>
    </row>
    <row r="26" spans="1:16" x14ac:dyDescent="0.25">
      <c r="A26" s="4" t="s">
        <v>16</v>
      </c>
      <c r="B26" s="10">
        <f>B22-B24</f>
        <v>4434.8700000000008</v>
      </c>
      <c r="C26" s="10">
        <f t="shared" ref="C26:I26" si="17">C22-C24</f>
        <v>4601.2399999999971</v>
      </c>
      <c r="D26" s="10">
        <f t="shared" si="17"/>
        <v>5266.9900000000016</v>
      </c>
      <c r="E26" s="10">
        <f t="shared" si="17"/>
        <v>5308.5800000000054</v>
      </c>
      <c r="F26" s="10">
        <f t="shared" si="17"/>
        <v>3867.1700000000005</v>
      </c>
      <c r="G26" s="10">
        <f t="shared" si="17"/>
        <v>3917.54</v>
      </c>
      <c r="H26" s="10">
        <f t="shared" si="17"/>
        <v>3197.2000000000039</v>
      </c>
      <c r="I26" s="10">
        <f t="shared" si="17"/>
        <v>3824.7000000000066</v>
      </c>
      <c r="J26" s="10">
        <f>J22-J24</f>
        <v>5415.1600000000035</v>
      </c>
      <c r="K26" s="10">
        <f t="shared" ref="K26:O26" si="18">K22-K24</f>
        <v>6252.2490362733715</v>
      </c>
      <c r="L26" s="10">
        <f t="shared" si="18"/>
        <v>6441.2403027937062</v>
      </c>
      <c r="M26" s="10">
        <f t="shared" si="18"/>
        <v>6425.4408595066507</v>
      </c>
      <c r="N26" s="10">
        <f t="shared" si="18"/>
        <v>6107.2852786905796</v>
      </c>
      <c r="O26" s="10">
        <f t="shared" si="18"/>
        <v>5356.3331031518746</v>
      </c>
      <c r="P26" s="10">
        <f>P22-P24</f>
        <v>3999.5338476672873</v>
      </c>
    </row>
    <row r="27" spans="1:16" x14ac:dyDescent="0.25">
      <c r="A27" s="58" t="s">
        <v>17</v>
      </c>
      <c r="B27" s="24">
        <v>0</v>
      </c>
      <c r="C27" s="24">
        <f>'Notes and Assumptions'!D3</f>
        <v>50</v>
      </c>
      <c r="D27" s="24">
        <f>'Notes and Assumptions'!E3</f>
        <v>55</v>
      </c>
      <c r="E27" s="24">
        <f>'Notes and Assumptions'!F3</f>
        <v>60.5</v>
      </c>
      <c r="F27" s="24">
        <f>'Notes and Assumptions'!G3</f>
        <v>66.55</v>
      </c>
      <c r="G27" s="24">
        <f>'Notes and Assumptions'!H3</f>
        <v>73.204999999999998</v>
      </c>
      <c r="H27" s="24">
        <f>'Notes and Assumptions'!I3</f>
        <v>80.525499999999994</v>
      </c>
      <c r="I27" s="24">
        <f>'Notes and Assumptions'!J3</f>
        <v>88.57804999999999</v>
      </c>
      <c r="J27" s="24">
        <v>-160</v>
      </c>
      <c r="K27">
        <v>80</v>
      </c>
      <c r="L27">
        <v>80</v>
      </c>
      <c r="M27">
        <v>80</v>
      </c>
      <c r="N27">
        <v>80</v>
      </c>
      <c r="O27">
        <v>80</v>
      </c>
      <c r="P27">
        <v>80</v>
      </c>
    </row>
    <row r="28" spans="1:16" x14ac:dyDescent="0.25">
      <c r="A28" s="4" t="s">
        <v>18</v>
      </c>
      <c r="B28" s="10">
        <f>SUM(B26:B27)</f>
        <v>4434.8700000000008</v>
      </c>
      <c r="C28" s="10">
        <f t="shared" ref="C28:I28" si="19">SUM(C26:C27)</f>
        <v>4651.2399999999971</v>
      </c>
      <c r="D28" s="10">
        <f t="shared" si="19"/>
        <v>5321.9900000000016</v>
      </c>
      <c r="E28" s="10">
        <f t="shared" si="19"/>
        <v>5369.0800000000054</v>
      </c>
      <c r="F28" s="10">
        <f t="shared" si="19"/>
        <v>3933.7200000000007</v>
      </c>
      <c r="G28" s="10">
        <f>SUM(G26:G27)</f>
        <v>3990.7449999999999</v>
      </c>
      <c r="H28" s="10">
        <f t="shared" si="19"/>
        <v>3277.7255000000041</v>
      </c>
      <c r="I28" s="10">
        <f t="shared" si="19"/>
        <v>3913.2780500000067</v>
      </c>
      <c r="J28" s="10">
        <f>SUM(J26:J27)</f>
        <v>5255.1600000000035</v>
      </c>
      <c r="K28" s="10">
        <f t="shared" ref="K28:P28" si="20">SUM(K26:K27)</f>
        <v>6332.2490362733715</v>
      </c>
      <c r="L28" s="10">
        <f t="shared" si="20"/>
        <v>6521.2403027937062</v>
      </c>
      <c r="M28" s="10">
        <f t="shared" si="20"/>
        <v>6505.4408595066507</v>
      </c>
      <c r="N28" s="10">
        <f t="shared" si="20"/>
        <v>6187.2852786905796</v>
      </c>
      <c r="O28" s="10">
        <f t="shared" si="20"/>
        <v>5436.3331031518746</v>
      </c>
      <c r="P28" s="10">
        <f t="shared" si="20"/>
        <v>4079.5338476672873</v>
      </c>
    </row>
    <row r="29" spans="1:16" x14ac:dyDescent="0.25">
      <c r="A29" s="7"/>
    </row>
    <row r="30" spans="1:16" x14ac:dyDescent="0.25">
      <c r="A30" s="1" t="s">
        <v>19</v>
      </c>
      <c r="B30" s="24">
        <v>1274.68</v>
      </c>
      <c r="C30" s="24">
        <v>1281.3399999999999</v>
      </c>
      <c r="D30" s="24">
        <v>1546.8</v>
      </c>
      <c r="E30" s="24">
        <v>1625.86</v>
      </c>
      <c r="F30" s="24">
        <v>940.43</v>
      </c>
      <c r="G30" s="24">
        <v>913.27</v>
      </c>
      <c r="H30" s="24">
        <v>729.06</v>
      </c>
      <c r="I30" s="24">
        <v>963.98</v>
      </c>
      <c r="J30" s="24">
        <v>1290.4000000000001</v>
      </c>
      <c r="K30" s="28">
        <f>K28*K31</f>
        <v>1899.6747108820114</v>
      </c>
      <c r="L30" s="28">
        <f t="shared" ref="L30:P30" si="21">L28*L31</f>
        <v>1956.3720908381117</v>
      </c>
      <c r="M30" s="28">
        <f t="shared" si="21"/>
        <v>1951.6322578519951</v>
      </c>
      <c r="N30" s="28">
        <f t="shared" si="21"/>
        <v>1856.1855836071738</v>
      </c>
      <c r="O30" s="28">
        <f t="shared" si="21"/>
        <v>1630.8999309455623</v>
      </c>
      <c r="P30" s="28">
        <f t="shared" si="21"/>
        <v>1223.8601543001862</v>
      </c>
    </row>
    <row r="31" spans="1:16" x14ac:dyDescent="0.25">
      <c r="A31" s="58" t="s">
        <v>102</v>
      </c>
      <c r="K31" s="45">
        <v>0.3</v>
      </c>
      <c r="L31" s="45">
        <v>0.3</v>
      </c>
      <c r="M31" s="45">
        <v>0.3</v>
      </c>
      <c r="N31" s="45">
        <v>0.3</v>
      </c>
      <c r="O31" s="45">
        <v>0.3</v>
      </c>
      <c r="P31" s="45">
        <v>0.3</v>
      </c>
    </row>
    <row r="32" spans="1:16" x14ac:dyDescent="0.25">
      <c r="A32" s="4" t="s">
        <v>20</v>
      </c>
      <c r="B32" s="10">
        <f>B28-B30</f>
        <v>3160.1900000000005</v>
      </c>
      <c r="C32" s="10">
        <f t="shared" ref="C32:I32" si="22">C28-C30</f>
        <v>3369.8999999999969</v>
      </c>
      <c r="D32" s="10">
        <f t="shared" si="22"/>
        <v>3775.1900000000014</v>
      </c>
      <c r="E32" s="10">
        <f t="shared" si="22"/>
        <v>3743.2200000000057</v>
      </c>
      <c r="F32" s="10">
        <f t="shared" si="22"/>
        <v>2993.2900000000009</v>
      </c>
      <c r="G32" s="10">
        <f>G28-G30</f>
        <v>3077.4749999999999</v>
      </c>
      <c r="H32" s="10">
        <f t="shared" si="22"/>
        <v>2548.6655000000042</v>
      </c>
      <c r="I32" s="10">
        <f t="shared" si="22"/>
        <v>2949.2980500000067</v>
      </c>
      <c r="J32" s="10">
        <f>J28-J30</f>
        <v>3964.7600000000034</v>
      </c>
      <c r="K32" s="10">
        <f t="shared" ref="K32:P32" si="23">K28-K30</f>
        <v>4432.5743253913606</v>
      </c>
      <c r="L32" s="10">
        <f t="shared" si="23"/>
        <v>4564.8682119555942</v>
      </c>
      <c r="M32" s="10">
        <f t="shared" si="23"/>
        <v>4553.8086016546558</v>
      </c>
      <c r="N32" s="10">
        <f t="shared" si="23"/>
        <v>4331.099695083406</v>
      </c>
      <c r="O32" s="10">
        <f t="shared" si="23"/>
        <v>3805.4331722063125</v>
      </c>
      <c r="P32" s="10">
        <f t="shared" si="23"/>
        <v>2855.6736933671009</v>
      </c>
    </row>
    <row r="33" spans="1:25" x14ac:dyDescent="0.25">
      <c r="A33" s="1"/>
      <c r="B33" s="6"/>
      <c r="C33" s="6"/>
      <c r="D33" s="6"/>
      <c r="E33" s="6"/>
      <c r="F33" s="6"/>
      <c r="G33" s="6"/>
      <c r="H33" s="6"/>
      <c r="I33" s="6"/>
      <c r="J33" s="6"/>
    </row>
    <row r="34" spans="1:25" x14ac:dyDescent="0.25">
      <c r="A34" s="1"/>
    </row>
    <row r="35" spans="1:25" x14ac:dyDescent="0.25">
      <c r="A35" s="1"/>
    </row>
    <row r="36" spans="1:25" x14ac:dyDescent="0.25">
      <c r="A36" s="8" t="s">
        <v>21</v>
      </c>
      <c r="B36" s="9">
        <f>B32+B33</f>
        <v>3160.1900000000005</v>
      </c>
      <c r="C36" s="9">
        <f t="shared" ref="C36:D36" si="24">C32+C33</f>
        <v>3369.8999999999969</v>
      </c>
      <c r="D36" s="9">
        <f t="shared" si="24"/>
        <v>3775.1900000000014</v>
      </c>
      <c r="E36" s="9">
        <f>E32+E33</f>
        <v>3743.2200000000057</v>
      </c>
      <c r="F36" s="9">
        <f t="shared" ref="F36:I36" si="25">F32+F33</f>
        <v>2993.2900000000009</v>
      </c>
      <c r="G36" s="9">
        <f>G32+G33</f>
        <v>3077.4749999999999</v>
      </c>
      <c r="H36" s="9">
        <f t="shared" si="25"/>
        <v>2548.6655000000042</v>
      </c>
      <c r="I36" s="9">
        <f t="shared" si="25"/>
        <v>2949.2980500000067</v>
      </c>
      <c r="J36" s="9">
        <f>J32+J33</f>
        <v>3964.7600000000034</v>
      </c>
      <c r="K36" s="9">
        <f t="shared" ref="K36:P36" si="26">K32+K33</f>
        <v>4432.5743253913606</v>
      </c>
      <c r="L36" s="9">
        <f t="shared" si="26"/>
        <v>4564.8682119555942</v>
      </c>
      <c r="M36" s="9">
        <f t="shared" si="26"/>
        <v>4553.8086016546558</v>
      </c>
      <c r="N36" s="9">
        <f t="shared" si="26"/>
        <v>4331.099695083406</v>
      </c>
      <c r="O36" s="9">
        <f t="shared" si="26"/>
        <v>3805.4331722063125</v>
      </c>
      <c r="P36" s="9">
        <f t="shared" si="26"/>
        <v>2855.6736933671009</v>
      </c>
    </row>
    <row r="37" spans="1:25" x14ac:dyDescent="0.25">
      <c r="A37" s="1"/>
    </row>
    <row r="38" spans="1:25" x14ac:dyDescent="0.25">
      <c r="A38" s="1"/>
    </row>
    <row r="39" spans="1:25" x14ac:dyDescent="0.25">
      <c r="A39" s="4" t="s">
        <v>22</v>
      </c>
    </row>
    <row r="40" spans="1:25" x14ac:dyDescent="0.25">
      <c r="A40" s="7"/>
    </row>
    <row r="41" spans="1:25" x14ac:dyDescent="0.25">
      <c r="A41" s="7" t="s">
        <v>23</v>
      </c>
    </row>
    <row r="42" spans="1:25" x14ac:dyDescent="0.25">
      <c r="A42" s="1" t="s">
        <v>24</v>
      </c>
      <c r="B42" s="24">
        <v>39.94</v>
      </c>
      <c r="C42" s="24">
        <v>39.94</v>
      </c>
      <c r="D42" s="24">
        <v>39.94</v>
      </c>
      <c r="E42" s="24">
        <v>39.94</v>
      </c>
      <c r="F42" s="23">
        <v>39.950000000000003</v>
      </c>
      <c r="G42" s="23">
        <v>39.96</v>
      </c>
      <c r="H42" s="23">
        <v>39.96</v>
      </c>
      <c r="I42" s="23">
        <v>39.97</v>
      </c>
      <c r="J42" s="24">
        <v>39.979999999999997</v>
      </c>
      <c r="K42" s="24">
        <v>39.979999999999997</v>
      </c>
      <c r="L42" s="24">
        <v>39.979999999999997</v>
      </c>
      <c r="M42" s="24">
        <v>39.979999999999997</v>
      </c>
      <c r="N42" s="24">
        <v>39.979999999999997</v>
      </c>
      <c r="O42" s="24">
        <v>39.979999999999997</v>
      </c>
      <c r="P42" s="24">
        <v>39.979999999999997</v>
      </c>
    </row>
    <row r="43" spans="1:25" x14ac:dyDescent="0.25">
      <c r="A43" s="25" t="s">
        <v>25</v>
      </c>
      <c r="B43" s="24">
        <v>8794.4699999999993</v>
      </c>
      <c r="C43" s="23">
        <v>10071.35</v>
      </c>
      <c r="D43" s="23">
        <v>11728.94</v>
      </c>
      <c r="E43" s="23">
        <v>12817.17</v>
      </c>
      <c r="F43" s="23">
        <v>14096.45</v>
      </c>
      <c r="G43" s="23">
        <v>15158</v>
      </c>
      <c r="H43" s="23">
        <v>15806.69</v>
      </c>
      <c r="I43" s="23">
        <v>16665.12</v>
      </c>
      <c r="J43" s="24">
        <v>17946.2</v>
      </c>
      <c r="K43" s="28">
        <f>J43*102%</f>
        <v>18305.124</v>
      </c>
      <c r="L43" s="28">
        <f t="shared" ref="L43:P43" si="27">K43*102%</f>
        <v>18671.226480000001</v>
      </c>
      <c r="M43" s="28">
        <f t="shared" si="27"/>
        <v>19044.651009600002</v>
      </c>
      <c r="N43" s="28">
        <f t="shared" si="27"/>
        <v>19425.544029792003</v>
      </c>
      <c r="O43" s="28">
        <f t="shared" si="27"/>
        <v>19814.054910387844</v>
      </c>
      <c r="P43" s="28">
        <f t="shared" si="27"/>
        <v>20210.336008595601</v>
      </c>
    </row>
    <row r="44" spans="1:25" x14ac:dyDescent="0.25">
      <c r="A44" s="11" t="s">
        <v>26</v>
      </c>
      <c r="B44" s="10">
        <f t="shared" ref="B44:I44" si="28">SUM(B42:B43)</f>
        <v>8834.41</v>
      </c>
      <c r="C44" s="10">
        <f t="shared" si="28"/>
        <v>10111.290000000001</v>
      </c>
      <c r="D44" s="10">
        <f t="shared" si="28"/>
        <v>11768.880000000001</v>
      </c>
      <c r="E44" s="10">
        <f t="shared" si="28"/>
        <v>12857.11</v>
      </c>
      <c r="F44" s="10">
        <f t="shared" si="28"/>
        <v>14136.400000000001</v>
      </c>
      <c r="G44" s="10">
        <f>SUM(G42:G43)</f>
        <v>15197.96</v>
      </c>
      <c r="H44" s="10">
        <f t="shared" si="28"/>
        <v>15846.65</v>
      </c>
      <c r="I44" s="10">
        <f t="shared" si="28"/>
        <v>16705.09</v>
      </c>
      <c r="J44" s="10">
        <f>SUM(J42:J43)</f>
        <v>17986.18</v>
      </c>
      <c r="K44" s="10">
        <f>SUM(K42:K43)</f>
        <v>18345.103999999999</v>
      </c>
      <c r="L44" s="10">
        <f t="shared" ref="L44:P44" si="29">SUM(L42:L43)</f>
        <v>18711.206480000001</v>
      </c>
      <c r="M44" s="10">
        <f t="shared" si="29"/>
        <v>19084.631009600002</v>
      </c>
      <c r="N44" s="10">
        <f t="shared" si="29"/>
        <v>19465.524029792003</v>
      </c>
      <c r="O44" s="10">
        <f t="shared" si="29"/>
        <v>19854.034910387843</v>
      </c>
      <c r="P44" s="10">
        <f t="shared" si="29"/>
        <v>20250.316008595601</v>
      </c>
      <c r="Q44" s="12"/>
      <c r="R44" s="12"/>
      <c r="S44" s="12"/>
      <c r="T44" s="12"/>
      <c r="U44" s="12"/>
      <c r="V44" s="12"/>
      <c r="W44" s="12"/>
      <c r="X44" s="12"/>
      <c r="Y44" s="12"/>
    </row>
    <row r="45" spans="1:25" x14ac:dyDescent="0.25">
      <c r="A45" s="7"/>
      <c r="J45" s="6"/>
    </row>
    <row r="46" spans="1:25" x14ac:dyDescent="0.25">
      <c r="A46" s="7"/>
      <c r="J46" s="6"/>
    </row>
    <row r="47" spans="1:25" x14ac:dyDescent="0.25">
      <c r="A47" s="7"/>
      <c r="J47" s="6"/>
    </row>
    <row r="48" spans="1:25" x14ac:dyDescent="0.25">
      <c r="A48" s="7"/>
      <c r="J48" s="6"/>
    </row>
    <row r="49" spans="1:25" x14ac:dyDescent="0.25">
      <c r="A49" s="4" t="s">
        <v>27</v>
      </c>
      <c r="B49" s="29">
        <f>SUM(B50:B53)</f>
        <v>290.13</v>
      </c>
      <c r="C49" s="29">
        <f>SUM(C50:C53)</f>
        <v>489.64</v>
      </c>
      <c r="D49" s="29">
        <f t="shared" ref="D49:I49" si="30">SUM(D50:D53)</f>
        <v>626.6</v>
      </c>
      <c r="E49" s="29">
        <f t="shared" si="30"/>
        <v>653.71</v>
      </c>
      <c r="F49" s="29">
        <f t="shared" si="30"/>
        <v>636.87</v>
      </c>
      <c r="G49" s="29">
        <f t="shared" si="30"/>
        <v>852.40000000000009</v>
      </c>
      <c r="H49" s="29">
        <f t="shared" si="30"/>
        <v>798.43000000000006</v>
      </c>
      <c r="I49" s="29">
        <f t="shared" si="30"/>
        <v>934.07</v>
      </c>
      <c r="J49" s="29">
        <f>SUM(J50:J53)</f>
        <v>1041.1099999999999</v>
      </c>
      <c r="K49" s="59">
        <f>SUM(K50:K53)</f>
        <v>1061.9322</v>
      </c>
      <c r="L49" s="59">
        <f t="shared" ref="L49:P49" si="31">SUM(L50:L53)</f>
        <v>1093.790166</v>
      </c>
      <c r="M49" s="59">
        <f t="shared" si="31"/>
        <v>1126.60387098</v>
      </c>
      <c r="N49" s="59">
        <f t="shared" si="31"/>
        <v>1160.4019871094001</v>
      </c>
      <c r="O49" s="59">
        <f t="shared" si="31"/>
        <v>1195.2140467226823</v>
      </c>
      <c r="P49" s="59">
        <f t="shared" si="31"/>
        <v>1231.0704681243628</v>
      </c>
      <c r="Q49" s="12"/>
      <c r="R49" s="12"/>
      <c r="S49" s="12"/>
      <c r="T49" s="12"/>
      <c r="U49" s="12"/>
      <c r="V49" s="12"/>
      <c r="W49" s="12"/>
      <c r="X49" s="12"/>
      <c r="Y49" s="12"/>
    </row>
    <row r="50" spans="1:25" x14ac:dyDescent="0.25">
      <c r="A50" s="1" t="s">
        <v>28</v>
      </c>
      <c r="B50" s="24">
        <v>0</v>
      </c>
      <c r="C50" s="23">
        <v>0</v>
      </c>
      <c r="D50" s="23">
        <v>0</v>
      </c>
      <c r="E50" s="23">
        <v>0</v>
      </c>
      <c r="F50" s="24">
        <v>121.67</v>
      </c>
      <c r="G50">
        <v>129.81</v>
      </c>
      <c r="H50">
        <v>142.32</v>
      </c>
      <c r="I50">
        <v>134.29</v>
      </c>
      <c r="J50" s="6">
        <v>111.5</v>
      </c>
      <c r="K50" s="60">
        <f>J50*102%</f>
        <v>113.73</v>
      </c>
      <c r="L50" s="60">
        <f t="shared" ref="L50:P50" si="32">K50*103%</f>
        <v>117.14190000000001</v>
      </c>
      <c r="M50" s="60">
        <f t="shared" si="32"/>
        <v>120.65615700000001</v>
      </c>
      <c r="N50" s="60">
        <f t="shared" si="32"/>
        <v>124.27584171000001</v>
      </c>
      <c r="O50" s="60">
        <f t="shared" si="32"/>
        <v>128.00411696130001</v>
      </c>
      <c r="P50" s="60">
        <f t="shared" si="32"/>
        <v>131.84424047013903</v>
      </c>
    </row>
    <row r="51" spans="1:25" x14ac:dyDescent="0.25">
      <c r="A51" s="1" t="s">
        <v>29</v>
      </c>
      <c r="B51" s="24">
        <v>0</v>
      </c>
      <c r="C51" s="23">
        <v>0</v>
      </c>
      <c r="D51" s="23">
        <v>0</v>
      </c>
      <c r="E51" s="23">
        <v>0</v>
      </c>
      <c r="F51" s="23">
        <v>0</v>
      </c>
      <c r="G51">
        <v>146.04</v>
      </c>
      <c r="H51">
        <v>155.04</v>
      </c>
      <c r="I51">
        <v>196.29</v>
      </c>
      <c r="J51" s="6">
        <v>178.13</v>
      </c>
      <c r="K51" s="60">
        <f t="shared" ref="K51:K53" si="33">J51*102%</f>
        <v>181.6926</v>
      </c>
      <c r="L51" s="60">
        <f t="shared" ref="L51:P53" si="34">K51*103%</f>
        <v>187.14337800000001</v>
      </c>
      <c r="M51" s="60">
        <f t="shared" si="34"/>
        <v>192.75767934000001</v>
      </c>
      <c r="N51" s="60">
        <f t="shared" si="34"/>
        <v>198.54040972020002</v>
      </c>
      <c r="O51" s="60">
        <f t="shared" si="34"/>
        <v>204.49662201180601</v>
      </c>
      <c r="P51" s="60">
        <f t="shared" si="34"/>
        <v>210.63152067216021</v>
      </c>
    </row>
    <row r="52" spans="1:25" x14ac:dyDescent="0.25">
      <c r="A52" s="1" t="s">
        <v>30</v>
      </c>
      <c r="B52" s="24">
        <v>67.599999999999994</v>
      </c>
      <c r="C52" s="23">
        <v>75.3</v>
      </c>
      <c r="D52" s="23">
        <v>114.94</v>
      </c>
      <c r="E52" s="23">
        <v>117.2</v>
      </c>
      <c r="F52" s="23">
        <v>122.37</v>
      </c>
      <c r="G52">
        <v>172.46</v>
      </c>
      <c r="H52">
        <v>178.07</v>
      </c>
      <c r="I52">
        <v>198.12</v>
      </c>
      <c r="J52" s="6">
        <v>316.66000000000003</v>
      </c>
      <c r="K52" s="60">
        <f t="shared" si="33"/>
        <v>322.99320000000006</v>
      </c>
      <c r="L52" s="60">
        <f>K52*103%</f>
        <v>332.68299600000006</v>
      </c>
      <c r="M52" s="60">
        <f>L52*103%</f>
        <v>342.66348588000005</v>
      </c>
      <c r="N52" s="60">
        <f>M52*103%</f>
        <v>352.94339045640004</v>
      </c>
      <c r="O52" s="60">
        <f>N52*103%</f>
        <v>363.53169217009207</v>
      </c>
      <c r="P52" s="60">
        <f>O52*103%</f>
        <v>374.43764293519484</v>
      </c>
    </row>
    <row r="53" spans="1:25" x14ac:dyDescent="0.25">
      <c r="A53" s="1" t="s">
        <v>31</v>
      </c>
      <c r="B53" s="24">
        <v>222.53</v>
      </c>
      <c r="C53" s="23">
        <v>414.34</v>
      </c>
      <c r="D53" s="23">
        <v>511.66</v>
      </c>
      <c r="E53" s="23">
        <v>536.51</v>
      </c>
      <c r="F53" s="23">
        <v>392.83</v>
      </c>
      <c r="G53">
        <v>404.09</v>
      </c>
      <c r="H53">
        <v>323</v>
      </c>
      <c r="I53">
        <v>405.37</v>
      </c>
      <c r="J53" s="6">
        <v>434.82</v>
      </c>
      <c r="K53" s="60">
        <f t="shared" si="33"/>
        <v>443.51639999999998</v>
      </c>
      <c r="L53" s="60">
        <f t="shared" si="34"/>
        <v>456.82189199999999</v>
      </c>
      <c r="M53" s="60">
        <f t="shared" si="34"/>
        <v>470.52654876000003</v>
      </c>
      <c r="N53" s="60">
        <f t="shared" si="34"/>
        <v>484.64234522280003</v>
      </c>
      <c r="O53" s="60">
        <f t="shared" si="34"/>
        <v>499.18161557948406</v>
      </c>
      <c r="P53" s="60">
        <f t="shared" si="34"/>
        <v>514.15706404686864</v>
      </c>
    </row>
    <row r="54" spans="1:25" x14ac:dyDescent="0.25">
      <c r="A54" s="7"/>
      <c r="J54" s="6"/>
    </row>
    <row r="55" spans="1:25" x14ac:dyDescent="0.25">
      <c r="A55" s="11" t="s">
        <v>32</v>
      </c>
      <c r="B55" s="29">
        <f>SUM(B57:B61)</f>
        <v>3448.3199999999997</v>
      </c>
      <c r="C55" s="29">
        <f t="shared" ref="C55:I55" si="35">SUM(C57:C61)</f>
        <v>4093.3300000000004</v>
      </c>
      <c r="D55" s="29">
        <f t="shared" si="35"/>
        <v>4343.3200000000006</v>
      </c>
      <c r="E55" s="29">
        <f t="shared" si="35"/>
        <v>4130.3600000000006</v>
      </c>
      <c r="F55" s="29">
        <f t="shared" si="35"/>
        <v>3976.0599999999995</v>
      </c>
      <c r="G55" s="29">
        <f>SUM(G57:G61)</f>
        <v>6110.2199999999993</v>
      </c>
      <c r="H55" s="29">
        <f t="shared" si="35"/>
        <v>5072.38</v>
      </c>
      <c r="I55" s="29">
        <f t="shared" si="35"/>
        <v>5623.9800000000005</v>
      </c>
      <c r="J55" s="29">
        <f>SUM(J57:J61)</f>
        <v>6544.26</v>
      </c>
      <c r="K55" s="29">
        <f t="shared" ref="K55:P55" si="36">SUM(K57:K61)</f>
        <v>8550.2236514222805</v>
      </c>
      <c r="L55" s="29">
        <f t="shared" si="36"/>
        <v>10297.225367916746</v>
      </c>
      <c r="M55" s="29">
        <f t="shared" si="36"/>
        <v>12402.456615879972</v>
      </c>
      <c r="N55" s="29">
        <f t="shared" si="36"/>
        <v>14939.604508125518</v>
      </c>
      <c r="O55" s="29">
        <f t="shared" si="36"/>
        <v>17997.554964043778</v>
      </c>
      <c r="P55" s="29">
        <f t="shared" si="36"/>
        <v>21683.535081301172</v>
      </c>
      <c r="Q55" s="12"/>
      <c r="R55" s="12"/>
      <c r="S55" s="12"/>
      <c r="T55" s="12"/>
      <c r="U55" s="12"/>
      <c r="V55" s="12"/>
      <c r="W55" s="12"/>
      <c r="X55" s="12"/>
      <c r="Y55" s="12"/>
    </row>
    <row r="56" spans="1:25" x14ac:dyDescent="0.25">
      <c r="A56" s="1"/>
      <c r="J56" s="6"/>
    </row>
    <row r="57" spans="1:25" x14ac:dyDescent="0.25">
      <c r="A57" s="1" t="s">
        <v>33</v>
      </c>
      <c r="B57" s="24">
        <v>0</v>
      </c>
      <c r="C57" s="23">
        <v>0</v>
      </c>
      <c r="D57" s="23">
        <v>0</v>
      </c>
      <c r="E57" s="23">
        <v>0</v>
      </c>
      <c r="F57" s="23">
        <v>28.29</v>
      </c>
      <c r="G57" s="23">
        <v>19.7</v>
      </c>
      <c r="H57" s="23">
        <v>25.75</v>
      </c>
      <c r="I57" s="23">
        <v>22.02</v>
      </c>
      <c r="J57" s="24">
        <v>26.08</v>
      </c>
      <c r="K57" s="23">
        <f>K163</f>
        <v>556.52343293281115</v>
      </c>
      <c r="L57" s="23">
        <f t="shared" ref="L57:P57" si="37">L163</f>
        <v>670.23360382890064</v>
      </c>
      <c r="M57" s="23">
        <f t="shared" si="37"/>
        <v>807.26048979100403</v>
      </c>
      <c r="N57" s="23">
        <f t="shared" si="37"/>
        <v>972.40029342828814</v>
      </c>
      <c r="O57" s="23">
        <f t="shared" si="37"/>
        <v>1171.4384887839146</v>
      </c>
      <c r="P57" s="23">
        <f t="shared" si="37"/>
        <v>1411.3543544042182</v>
      </c>
    </row>
    <row r="58" spans="1:25" x14ac:dyDescent="0.25">
      <c r="A58" s="1" t="s">
        <v>34</v>
      </c>
      <c r="B58" s="24">
        <v>2650.56</v>
      </c>
      <c r="C58" s="23">
        <v>3247.27</v>
      </c>
      <c r="D58" s="23">
        <v>3318.81</v>
      </c>
      <c r="E58" s="23">
        <v>3355.28</v>
      </c>
      <c r="F58" s="23">
        <f>8.33+3022.18</f>
        <v>3030.5099999999998</v>
      </c>
      <c r="G58" s="23">
        <f>15.71+5188.9</f>
        <v>5204.6099999999997</v>
      </c>
      <c r="H58" s="23">
        <f>25.55+4234.79</f>
        <v>4260.34</v>
      </c>
      <c r="I58" s="23">
        <f>1.15+4703.31</f>
        <v>4704.46</v>
      </c>
      <c r="J58" s="24">
        <f>15.79+5512.36</f>
        <v>5528.15</v>
      </c>
      <c r="K58" s="23">
        <f>K164</f>
        <v>6071.1647229033942</v>
      </c>
      <c r="L58" s="23">
        <f t="shared" ref="L58:P58" si="38">L164</f>
        <v>7311.639314497098</v>
      </c>
      <c r="M58" s="23">
        <f t="shared" si="38"/>
        <v>8806.478070447316</v>
      </c>
      <c r="N58" s="23">
        <f t="shared" si="38"/>
        <v>10608.00320103587</v>
      </c>
      <c r="O58" s="23">
        <f t="shared" si="38"/>
        <v>12779.328968551796</v>
      </c>
      <c r="P58" s="23">
        <f t="shared" si="38"/>
        <v>15396.592957136927</v>
      </c>
    </row>
    <row r="59" spans="1:25" x14ac:dyDescent="0.25">
      <c r="A59" s="1" t="s">
        <v>35</v>
      </c>
      <c r="B59" s="24">
        <v>502.4</v>
      </c>
      <c r="C59" s="23">
        <v>454.28</v>
      </c>
      <c r="D59" s="23">
        <v>762.58</v>
      </c>
      <c r="E59" s="23">
        <v>495.18</v>
      </c>
      <c r="F59" s="23">
        <v>518.26</v>
      </c>
      <c r="G59" s="23">
        <v>566.01</v>
      </c>
      <c r="H59" s="23">
        <v>492.12</v>
      </c>
      <c r="I59" s="23">
        <v>557.84</v>
      </c>
      <c r="J59" s="24">
        <v>585.6</v>
      </c>
      <c r="K59" s="23">
        <f>K165</f>
        <v>758.89559036292428</v>
      </c>
      <c r="L59" s="23">
        <f t="shared" ref="L59:P59" si="39">L165</f>
        <v>913.95491431213725</v>
      </c>
      <c r="M59" s="23">
        <f t="shared" si="39"/>
        <v>1100.8097588059145</v>
      </c>
      <c r="N59" s="23">
        <f t="shared" si="39"/>
        <v>1326.0004001294838</v>
      </c>
      <c r="O59" s="23">
        <f t="shared" si="39"/>
        <v>1597.4161210689745</v>
      </c>
      <c r="P59" s="23">
        <f t="shared" si="39"/>
        <v>1924.5741196421159</v>
      </c>
    </row>
    <row r="60" spans="1:25" x14ac:dyDescent="0.25">
      <c r="A60" s="1" t="s">
        <v>36</v>
      </c>
      <c r="B60" s="24">
        <v>29.66</v>
      </c>
      <c r="C60" s="23">
        <v>39.01</v>
      </c>
      <c r="D60" s="23">
        <v>59.79</v>
      </c>
      <c r="E60" s="23">
        <v>59.03</v>
      </c>
      <c r="F60" s="23">
        <v>146.56</v>
      </c>
      <c r="G60" s="23">
        <v>160.37</v>
      </c>
      <c r="H60" s="23">
        <v>160.41999999999999</v>
      </c>
      <c r="I60" s="23">
        <v>175.69</v>
      </c>
      <c r="J60" s="24">
        <v>154.13999999999999</v>
      </c>
      <c r="K60" s="23">
        <f>K166</f>
        <v>505.93039357528289</v>
      </c>
      <c r="L60" s="23">
        <f t="shared" ref="L60:P60" si="40">L166</f>
        <v>609.30327620809157</v>
      </c>
      <c r="M60" s="23">
        <f t="shared" si="40"/>
        <v>733.87317253727645</v>
      </c>
      <c r="N60" s="23">
        <f t="shared" si="40"/>
        <v>884.00026675298932</v>
      </c>
      <c r="O60" s="23">
        <f t="shared" si="40"/>
        <v>1064.9440807126498</v>
      </c>
      <c r="P60" s="23">
        <f t="shared" si="40"/>
        <v>1283.0494130947441</v>
      </c>
    </row>
    <row r="61" spans="1:25" x14ac:dyDescent="0.25">
      <c r="A61" s="1" t="s">
        <v>37</v>
      </c>
      <c r="B61" s="24">
        <v>265.7</v>
      </c>
      <c r="C61" s="23">
        <v>352.77</v>
      </c>
      <c r="D61" s="23">
        <v>202.14</v>
      </c>
      <c r="E61" s="23">
        <v>220.87</v>
      </c>
      <c r="F61" s="23">
        <v>252.44</v>
      </c>
      <c r="G61" s="23">
        <v>159.53</v>
      </c>
      <c r="H61" s="23">
        <v>133.75</v>
      </c>
      <c r="I61" s="23">
        <v>163.97</v>
      </c>
      <c r="J61" s="24">
        <v>250.29</v>
      </c>
      <c r="K61" s="23">
        <f>K167</f>
        <v>657.70951164786777</v>
      </c>
      <c r="L61" s="23">
        <f t="shared" ref="L61:P61" si="41">L167</f>
        <v>792.09425907051912</v>
      </c>
      <c r="M61" s="23">
        <f t="shared" si="41"/>
        <v>954.03512429845944</v>
      </c>
      <c r="N61" s="23">
        <f t="shared" si="41"/>
        <v>1149.2003467788861</v>
      </c>
      <c r="O61" s="23">
        <f t="shared" si="41"/>
        <v>1384.4273049264448</v>
      </c>
      <c r="P61" s="23">
        <f t="shared" si="41"/>
        <v>1667.9642370231672</v>
      </c>
    </row>
    <row r="62" spans="1:25" x14ac:dyDescent="0.25">
      <c r="A62" s="8" t="s">
        <v>38</v>
      </c>
      <c r="B62" s="10">
        <f t="shared" ref="B62:I62" si="42">SUM(B44,B49,B55)</f>
        <v>12572.859999999999</v>
      </c>
      <c r="C62" s="10">
        <f t="shared" si="42"/>
        <v>14694.26</v>
      </c>
      <c r="D62" s="10">
        <f t="shared" si="42"/>
        <v>16738.800000000003</v>
      </c>
      <c r="E62" s="10">
        <f t="shared" si="42"/>
        <v>17641.18</v>
      </c>
      <c r="F62" s="10">
        <f t="shared" si="42"/>
        <v>18749.330000000002</v>
      </c>
      <c r="G62" s="10">
        <f>SUM(G44,G49,G55)</f>
        <v>22160.579999999998</v>
      </c>
      <c r="H62" s="10">
        <f>SUM(H44,H49,H55)</f>
        <v>21717.46</v>
      </c>
      <c r="I62" s="10">
        <f t="shared" si="42"/>
        <v>23263.14</v>
      </c>
      <c r="J62" s="10">
        <f>SUM(J44,J49,J55)</f>
        <v>25571.550000000003</v>
      </c>
      <c r="K62" s="10">
        <f t="shared" ref="K62:P62" si="43">SUM(K44,K49,K55)</f>
        <v>27957.259851422277</v>
      </c>
      <c r="L62" s="10">
        <f t="shared" si="43"/>
        <v>30102.222013916748</v>
      </c>
      <c r="M62" s="10">
        <f t="shared" si="43"/>
        <v>32613.691496459975</v>
      </c>
      <c r="N62" s="10">
        <f t="shared" si="43"/>
        <v>35565.530525026916</v>
      </c>
      <c r="O62" s="10">
        <f t="shared" si="43"/>
        <v>39046.803921154307</v>
      </c>
      <c r="P62" s="10">
        <f t="shared" si="43"/>
        <v>43164.921558021131</v>
      </c>
      <c r="Q62" s="12"/>
      <c r="R62" s="12"/>
      <c r="S62" s="12"/>
      <c r="T62" s="12"/>
      <c r="U62" s="12"/>
      <c r="V62" s="12"/>
      <c r="W62" s="12"/>
      <c r="X62" s="12"/>
      <c r="Y62" s="12"/>
    </row>
    <row r="63" spans="1:25" x14ac:dyDescent="0.25">
      <c r="A63" s="7"/>
      <c r="J63" s="6"/>
    </row>
    <row r="64" spans="1:25" x14ac:dyDescent="0.25">
      <c r="A64" s="7"/>
      <c r="J64" s="6"/>
    </row>
    <row r="65" spans="1:25" x14ac:dyDescent="0.25">
      <c r="A65" s="4" t="s">
        <v>39</v>
      </c>
      <c r="J65" s="6"/>
    </row>
    <row r="66" spans="1:25" x14ac:dyDescent="0.25">
      <c r="A66" s="7"/>
      <c r="J66" s="6"/>
    </row>
    <row r="67" spans="1:25" x14ac:dyDescent="0.25">
      <c r="A67" s="11" t="s">
        <v>40</v>
      </c>
      <c r="B67" s="10">
        <f t="shared" ref="B67:H67" si="44">SUM(B68:B78)</f>
        <v>6421.6399999999994</v>
      </c>
      <c r="C67" s="10">
        <f t="shared" si="44"/>
        <v>7241.079999999999</v>
      </c>
      <c r="D67" s="10">
        <f t="shared" si="44"/>
        <v>7890.62</v>
      </c>
      <c r="E67" s="10">
        <f t="shared" si="44"/>
        <v>9525.5499999999993</v>
      </c>
      <c r="F67" s="10">
        <f t="shared" si="44"/>
        <v>10460.77</v>
      </c>
      <c r="G67" s="10">
        <f t="shared" si="44"/>
        <v>11208.26</v>
      </c>
      <c r="H67" s="10">
        <f t="shared" si="44"/>
        <v>11599.060000000001</v>
      </c>
      <c r="I67" s="10">
        <f>SUM(I68:I78)</f>
        <v>14226.349999999999</v>
      </c>
      <c r="J67" s="10">
        <f>SUM(J68:J78)</f>
        <v>15775.529999999999</v>
      </c>
      <c r="K67" s="10">
        <f>SUM(K68:K78)</f>
        <v>13251.877999999999</v>
      </c>
      <c r="L67" s="10">
        <f t="shared" ref="L67:P67" si="45">SUM(L68:L78)</f>
        <v>11169.811000000002</v>
      </c>
      <c r="M67" s="10">
        <f t="shared" si="45"/>
        <v>9447.32654</v>
      </c>
      <c r="N67" s="10">
        <f t="shared" si="45"/>
        <v>8018.1911980000023</v>
      </c>
      <c r="O67" s="10">
        <f t="shared" si="45"/>
        <v>6828.8499278000018</v>
      </c>
      <c r="P67" s="10">
        <f t="shared" si="45"/>
        <v>5835.9472147000006</v>
      </c>
      <c r="Q67" s="12"/>
      <c r="R67" s="12"/>
      <c r="S67" s="12"/>
      <c r="T67" s="12"/>
      <c r="U67" s="12"/>
      <c r="V67" s="12"/>
      <c r="W67" s="12"/>
      <c r="X67" s="12"/>
      <c r="Y67" s="12"/>
    </row>
    <row r="68" spans="1:25" x14ac:dyDescent="0.25">
      <c r="A68" s="13" t="s">
        <v>41</v>
      </c>
      <c r="B68" s="6">
        <v>3465.46</v>
      </c>
      <c r="C68" s="23">
        <v>4310.7299999999996</v>
      </c>
      <c r="D68" s="23">
        <v>4485.8900000000003</v>
      </c>
      <c r="E68" s="23">
        <v>4477.53</v>
      </c>
      <c r="F68" s="23">
        <v>5562.42</v>
      </c>
      <c r="G68" s="23">
        <v>5293.4</v>
      </c>
      <c r="H68" s="23">
        <v>5094.3900000000003</v>
      </c>
      <c r="I68" s="23">
        <v>4868.2</v>
      </c>
      <c r="J68" s="24">
        <v>4933.87</v>
      </c>
      <c r="K68" s="27">
        <f>J68*90%</f>
        <v>4440.4830000000002</v>
      </c>
      <c r="L68" s="27">
        <f t="shared" ref="L68:P68" si="46">K68*90%</f>
        <v>3996.4347000000002</v>
      </c>
      <c r="M68" s="27">
        <f t="shared" si="46"/>
        <v>3596.7912300000003</v>
      </c>
      <c r="N68" s="27">
        <f t="shared" si="46"/>
        <v>3237.1121070000004</v>
      </c>
      <c r="O68" s="27">
        <f t="shared" si="46"/>
        <v>2913.4008963000006</v>
      </c>
      <c r="P68" s="27">
        <f t="shared" si="46"/>
        <v>2622.0608066700006</v>
      </c>
    </row>
    <row r="69" spans="1:25" x14ac:dyDescent="0.25">
      <c r="A69" s="13" t="s">
        <v>42</v>
      </c>
      <c r="B69" s="6">
        <v>118.89</v>
      </c>
      <c r="C69">
        <v>84.86</v>
      </c>
      <c r="D69">
        <v>168.65</v>
      </c>
      <c r="E69">
        <v>141.05000000000001</v>
      </c>
      <c r="F69">
        <v>140.09</v>
      </c>
      <c r="G69">
        <v>290.26</v>
      </c>
      <c r="H69">
        <v>298.5</v>
      </c>
      <c r="I69">
        <v>500.19</v>
      </c>
      <c r="J69" s="24">
        <v>528.54999999999995</v>
      </c>
      <c r="K69" s="27">
        <f>J69*90%</f>
        <v>475.69499999999999</v>
      </c>
      <c r="L69" s="27">
        <f t="shared" ref="L69:P69" si="47">K69*90%</f>
        <v>428.12549999999999</v>
      </c>
      <c r="M69" s="27">
        <f t="shared" si="47"/>
        <v>385.31295</v>
      </c>
      <c r="N69" s="27">
        <f t="shared" si="47"/>
        <v>346.781655</v>
      </c>
      <c r="O69" s="27">
        <f t="shared" si="47"/>
        <v>312.10348950000002</v>
      </c>
      <c r="P69" s="27">
        <f t="shared" si="47"/>
        <v>280.89314055000006</v>
      </c>
    </row>
    <row r="70" spans="1:25" x14ac:dyDescent="0.25">
      <c r="A70" s="13" t="s">
        <v>43</v>
      </c>
      <c r="B70" s="6">
        <v>0</v>
      </c>
      <c r="C70">
        <v>0</v>
      </c>
      <c r="D70">
        <v>0</v>
      </c>
      <c r="E70">
        <v>0</v>
      </c>
      <c r="F70">
        <v>414.57</v>
      </c>
      <c r="G70">
        <v>404.75</v>
      </c>
      <c r="H70">
        <v>413.59</v>
      </c>
      <c r="I70">
        <v>393.03</v>
      </c>
      <c r="J70" s="24">
        <v>371.61</v>
      </c>
      <c r="K70" s="27">
        <f t="shared" ref="K70:P71" si="48">J70*90%</f>
        <v>334.44900000000001</v>
      </c>
      <c r="L70" s="27">
        <f t="shared" si="48"/>
        <v>301.00409999999999</v>
      </c>
      <c r="M70" s="27">
        <f t="shared" si="48"/>
        <v>270.90368999999998</v>
      </c>
      <c r="N70" s="27">
        <f t="shared" si="48"/>
        <v>243.813321</v>
      </c>
      <c r="O70" s="27">
        <f t="shared" si="48"/>
        <v>219.43198889999999</v>
      </c>
      <c r="P70" s="27">
        <f t="shared" si="48"/>
        <v>197.48879001</v>
      </c>
    </row>
    <row r="71" spans="1:25" x14ac:dyDescent="0.25">
      <c r="A71" s="13" t="s">
        <v>44</v>
      </c>
      <c r="B71" s="6">
        <v>288.33999999999997</v>
      </c>
      <c r="C71">
        <v>270.72000000000003</v>
      </c>
      <c r="D71">
        <v>203.78</v>
      </c>
      <c r="E71">
        <v>360.67</v>
      </c>
      <c r="F71">
        <v>160.25</v>
      </c>
      <c r="G71">
        <v>177.86</v>
      </c>
      <c r="H71">
        <v>87.32</v>
      </c>
      <c r="I71">
        <v>128.55000000000001</v>
      </c>
      <c r="J71" s="24">
        <v>120.58</v>
      </c>
      <c r="K71" s="27">
        <f t="shared" si="48"/>
        <v>108.52200000000001</v>
      </c>
      <c r="L71" s="27">
        <f t="shared" si="48"/>
        <v>97.669800000000009</v>
      </c>
      <c r="M71" s="27">
        <f t="shared" si="48"/>
        <v>87.902820000000006</v>
      </c>
      <c r="N71" s="27">
        <f t="shared" si="48"/>
        <v>79.112538000000001</v>
      </c>
      <c r="O71" s="27">
        <f t="shared" si="48"/>
        <v>71.201284200000003</v>
      </c>
      <c r="P71" s="27">
        <f t="shared" si="48"/>
        <v>64.081155780000003</v>
      </c>
    </row>
    <row r="72" spans="1:25" x14ac:dyDescent="0.25">
      <c r="A72" s="13" t="s">
        <v>45</v>
      </c>
      <c r="B72" s="6">
        <v>317.06</v>
      </c>
      <c r="C72">
        <v>194.33</v>
      </c>
      <c r="D72">
        <v>114.61</v>
      </c>
      <c r="E72">
        <v>181.19</v>
      </c>
      <c r="F72">
        <v>181.02</v>
      </c>
      <c r="G72">
        <v>258.73</v>
      </c>
      <c r="H72">
        <v>370.88</v>
      </c>
      <c r="I72">
        <v>335.24</v>
      </c>
      <c r="J72" s="24">
        <v>359.93</v>
      </c>
      <c r="K72" s="27">
        <f>J72*90%</f>
        <v>323.93700000000001</v>
      </c>
      <c r="L72" s="27">
        <f t="shared" ref="L72:P72" si="49">K72*90%</f>
        <v>291.54330000000004</v>
      </c>
      <c r="M72" s="27">
        <f t="shared" si="49"/>
        <v>262.38897000000003</v>
      </c>
      <c r="N72" s="27">
        <f t="shared" si="49"/>
        <v>236.15007300000002</v>
      </c>
      <c r="O72" s="27">
        <f t="shared" si="49"/>
        <v>212.53506570000002</v>
      </c>
      <c r="P72" s="27">
        <f t="shared" si="49"/>
        <v>191.28155913000003</v>
      </c>
    </row>
    <row r="73" spans="1:25" x14ac:dyDescent="0.25">
      <c r="A73" s="1"/>
      <c r="B73" s="6"/>
      <c r="J73" s="24"/>
    </row>
    <row r="74" spans="1:25" x14ac:dyDescent="0.25">
      <c r="A74" s="1" t="s">
        <v>46</v>
      </c>
      <c r="B74" s="6">
        <v>1111.9100000000001</v>
      </c>
      <c r="C74" s="23">
        <v>1349</v>
      </c>
      <c r="D74" s="23">
        <v>1934.08</v>
      </c>
      <c r="E74" s="23">
        <v>2801.51</v>
      </c>
      <c r="F74" s="23">
        <v>3528.17</v>
      </c>
      <c r="G74" s="23">
        <v>4308.18</v>
      </c>
      <c r="H74" s="23">
        <v>4814.66</v>
      </c>
      <c r="I74" s="23">
        <v>7372.48</v>
      </c>
      <c r="J74" s="24">
        <v>8811.58</v>
      </c>
      <c r="K74" s="27">
        <f>J74*80%</f>
        <v>7049.2640000000001</v>
      </c>
      <c r="L74" s="27">
        <f t="shared" ref="L74:P74" si="50">K74*80%</f>
        <v>5639.4112000000005</v>
      </c>
      <c r="M74" s="27">
        <f t="shared" si="50"/>
        <v>4511.5289600000006</v>
      </c>
      <c r="N74" s="27">
        <f t="shared" si="50"/>
        <v>3609.2231680000004</v>
      </c>
      <c r="O74" s="27">
        <f t="shared" si="50"/>
        <v>2887.3785344000007</v>
      </c>
      <c r="P74" s="27">
        <f t="shared" si="50"/>
        <v>2309.9028275200008</v>
      </c>
    </row>
    <row r="75" spans="1:25" x14ac:dyDescent="0.25">
      <c r="A75" s="1" t="s">
        <v>47</v>
      </c>
      <c r="B75" s="6">
        <v>23.2</v>
      </c>
      <c r="C75">
        <v>0</v>
      </c>
      <c r="D75">
        <v>0</v>
      </c>
      <c r="E75">
        <v>0</v>
      </c>
      <c r="F75">
        <v>0</v>
      </c>
      <c r="G75">
        <v>35.5</v>
      </c>
      <c r="H75" s="27">
        <v>41.6</v>
      </c>
      <c r="I75">
        <v>205.65</v>
      </c>
      <c r="J75" s="24">
        <v>188.87</v>
      </c>
      <c r="K75" s="27">
        <f t="shared" ref="K75:P78" si="51">J75*80%</f>
        <v>151.096</v>
      </c>
      <c r="L75" s="27">
        <f t="shared" si="51"/>
        <v>120.8768</v>
      </c>
      <c r="M75" s="27">
        <f t="shared" si="51"/>
        <v>96.701440000000005</v>
      </c>
      <c r="N75" s="27">
        <f t="shared" si="51"/>
        <v>77.361152000000004</v>
      </c>
      <c r="O75" s="27">
        <f t="shared" si="51"/>
        <v>61.888921600000003</v>
      </c>
      <c r="P75" s="27">
        <f t="shared" si="51"/>
        <v>49.511137280000007</v>
      </c>
    </row>
    <row r="76" spans="1:25" x14ac:dyDescent="0.25">
      <c r="A76" s="1" t="s">
        <v>48</v>
      </c>
      <c r="B76" s="6">
        <v>26.7</v>
      </c>
      <c r="C76">
        <v>48.36</v>
      </c>
      <c r="D76">
        <v>45.68</v>
      </c>
      <c r="E76">
        <v>59.96</v>
      </c>
      <c r="F76">
        <v>67.27</v>
      </c>
      <c r="G76">
        <v>16.73</v>
      </c>
      <c r="H76">
        <v>17.43</v>
      </c>
      <c r="I76">
        <v>19.87</v>
      </c>
      <c r="J76" s="24">
        <v>21.15</v>
      </c>
      <c r="K76" s="27">
        <f t="shared" si="51"/>
        <v>16.919999999999998</v>
      </c>
      <c r="L76" s="27">
        <f t="shared" si="51"/>
        <v>13.536</v>
      </c>
      <c r="M76" s="27">
        <f t="shared" si="51"/>
        <v>10.828800000000001</v>
      </c>
      <c r="N76" s="27">
        <f t="shared" si="51"/>
        <v>8.6630400000000005</v>
      </c>
      <c r="O76" s="27">
        <f t="shared" si="51"/>
        <v>6.9304320000000006</v>
      </c>
      <c r="P76" s="27">
        <f t="shared" si="51"/>
        <v>5.5443456000000007</v>
      </c>
    </row>
    <row r="77" spans="1:25" x14ac:dyDescent="0.25">
      <c r="A77" s="1" t="s">
        <v>49</v>
      </c>
      <c r="B77" s="6">
        <v>842.54</v>
      </c>
      <c r="C77">
        <v>651.14</v>
      </c>
      <c r="D77">
        <v>558.66999999999996</v>
      </c>
      <c r="E77">
        <v>664.38</v>
      </c>
      <c r="F77">
        <v>96.85</v>
      </c>
      <c r="G77">
        <v>54.66</v>
      </c>
      <c r="H77">
        <v>119.77</v>
      </c>
      <c r="I77">
        <v>151.41999999999999</v>
      </c>
      <c r="J77" s="24">
        <v>126.9</v>
      </c>
      <c r="K77" s="27">
        <f t="shared" si="51"/>
        <v>101.52000000000001</v>
      </c>
      <c r="L77" s="27">
        <f t="shared" si="51"/>
        <v>81.216000000000008</v>
      </c>
      <c r="M77" s="27">
        <f t="shared" si="51"/>
        <v>64.972800000000007</v>
      </c>
      <c r="N77" s="27">
        <f t="shared" si="51"/>
        <v>51.978240000000007</v>
      </c>
      <c r="O77" s="27">
        <f t="shared" si="51"/>
        <v>41.582592000000005</v>
      </c>
      <c r="P77" s="27">
        <f t="shared" si="51"/>
        <v>33.266073600000006</v>
      </c>
    </row>
    <row r="78" spans="1:25" x14ac:dyDescent="0.25">
      <c r="A78" s="1" t="s">
        <v>50</v>
      </c>
      <c r="B78" s="6">
        <v>227.54</v>
      </c>
      <c r="C78">
        <v>331.94</v>
      </c>
      <c r="D78">
        <v>379.26</v>
      </c>
      <c r="E78">
        <v>839.26</v>
      </c>
      <c r="F78">
        <v>310.13</v>
      </c>
      <c r="G78">
        <v>368.19</v>
      </c>
      <c r="H78">
        <v>340.92</v>
      </c>
      <c r="I78">
        <v>251.72</v>
      </c>
      <c r="J78" s="24">
        <v>312.49</v>
      </c>
      <c r="K78" s="27">
        <f t="shared" si="51"/>
        <v>249.99200000000002</v>
      </c>
      <c r="L78" s="27">
        <f t="shared" si="51"/>
        <v>199.99360000000001</v>
      </c>
      <c r="M78" s="27">
        <f t="shared" si="51"/>
        <v>159.99488000000002</v>
      </c>
      <c r="N78" s="27">
        <f t="shared" si="51"/>
        <v>127.99590400000002</v>
      </c>
      <c r="O78" s="27">
        <f t="shared" si="51"/>
        <v>102.39672320000003</v>
      </c>
      <c r="P78" s="27">
        <f t="shared" si="51"/>
        <v>81.917378560000031</v>
      </c>
    </row>
    <row r="79" spans="1:25" x14ac:dyDescent="0.25">
      <c r="A79" s="1"/>
      <c r="J79" s="6"/>
    </row>
    <row r="80" spans="1:25" x14ac:dyDescent="0.25">
      <c r="A80" s="11" t="s">
        <v>51</v>
      </c>
      <c r="B80" s="29">
        <f t="shared" ref="B80:H80" si="52">SUM(B82:B89)</f>
        <v>6151.22</v>
      </c>
      <c r="C80" s="29">
        <f t="shared" si="52"/>
        <v>7453.1799999999994</v>
      </c>
      <c r="D80" s="29">
        <f t="shared" si="52"/>
        <v>8848.1800000000021</v>
      </c>
      <c r="E80" s="29">
        <f t="shared" si="52"/>
        <v>8115.5700000000006</v>
      </c>
      <c r="F80" s="29">
        <f t="shared" si="52"/>
        <v>8288.56</v>
      </c>
      <c r="G80" s="29">
        <f t="shared" si="52"/>
        <v>10952.79</v>
      </c>
      <c r="H80" s="29">
        <f t="shared" si="52"/>
        <v>10117.959999999999</v>
      </c>
      <c r="I80" s="29">
        <f>SUM(I82:I89)</f>
        <v>9036.7899999999991</v>
      </c>
      <c r="J80" s="29">
        <f>SUM(J82:J89)</f>
        <v>9796.0200000000023</v>
      </c>
      <c r="K80" s="29">
        <f t="shared" ref="K80:P80" si="53">SUM(K82:K89)</f>
        <v>14705.439582761184</v>
      </c>
      <c r="L80" s="29">
        <f t="shared" si="53"/>
        <v>18931.955904588409</v>
      </c>
      <c r="M80" s="29">
        <f t="shared" si="53"/>
        <v>23166.818988144383</v>
      </c>
      <c r="N80" s="29">
        <f t="shared" si="53"/>
        <v>27546.966410129273</v>
      </c>
      <c r="O80" s="29">
        <f t="shared" si="53"/>
        <v>32217.949409731471</v>
      </c>
      <c r="P80" s="29">
        <f t="shared" si="53"/>
        <v>37328.641420454413</v>
      </c>
      <c r="Q80" s="12"/>
      <c r="R80" s="12"/>
      <c r="S80" s="12"/>
      <c r="T80" s="12"/>
      <c r="U80" s="12"/>
      <c r="V80" s="12"/>
      <c r="W80" s="12"/>
      <c r="X80" s="12"/>
      <c r="Y80" s="12"/>
    </row>
    <row r="81" spans="1:25" x14ac:dyDescent="0.25">
      <c r="A81" s="1"/>
      <c r="J81" s="6"/>
    </row>
    <row r="82" spans="1:25" x14ac:dyDescent="0.25">
      <c r="A82" s="13" t="s">
        <v>52</v>
      </c>
      <c r="B82" s="24">
        <v>672.98</v>
      </c>
      <c r="C82" s="23">
        <v>656.31</v>
      </c>
      <c r="D82" s="23">
        <v>823.58</v>
      </c>
      <c r="E82" s="23">
        <v>1072.3</v>
      </c>
      <c r="F82" s="23">
        <v>1091.97</v>
      </c>
      <c r="G82" s="23">
        <v>1469.55</v>
      </c>
      <c r="H82" s="23">
        <v>1122.6500000000001</v>
      </c>
      <c r="I82" s="23">
        <v>1434.09</v>
      </c>
      <c r="J82" s="24">
        <v>1443.76</v>
      </c>
      <c r="K82" s="23">
        <f>Model!K154</f>
        <v>2529.6519678764143</v>
      </c>
      <c r="L82" s="23">
        <f>Model!L154-445</f>
        <v>2601.5163810404579</v>
      </c>
      <c r="M82" s="23">
        <f>Model!M154-68</f>
        <v>3601.3658626863821</v>
      </c>
      <c r="N82" s="23">
        <f>Model!N154</f>
        <v>4420.0013337649461</v>
      </c>
      <c r="O82" s="23">
        <f>Model!O154</f>
        <v>5324.7204035632494</v>
      </c>
      <c r="P82" s="23">
        <f>Model!P154</f>
        <v>6415.2470654737199</v>
      </c>
    </row>
    <row r="83" spans="1:25" x14ac:dyDescent="0.25">
      <c r="A83" s="13" t="s">
        <v>53</v>
      </c>
      <c r="B83" s="24">
        <v>1282.8</v>
      </c>
      <c r="C83" s="23">
        <v>1561.87</v>
      </c>
      <c r="D83" s="23">
        <v>1520.18</v>
      </c>
      <c r="E83" s="23">
        <v>2821.57</v>
      </c>
      <c r="F83" s="23">
        <v>1603.14</v>
      </c>
      <c r="G83" s="23">
        <v>2426.7600000000002</v>
      </c>
      <c r="H83" s="23">
        <v>2304.27</v>
      </c>
      <c r="I83" s="23">
        <v>2798.21</v>
      </c>
      <c r="J83" s="24">
        <v>2703.44</v>
      </c>
      <c r="K83" s="23">
        <f>Model!K155</f>
        <v>3794.4779518146215</v>
      </c>
      <c r="L83" s="23">
        <f>Model!L155</f>
        <v>4569.7745715606861</v>
      </c>
      <c r="M83" s="23">
        <f>Model!M155</f>
        <v>5504.0487940295725</v>
      </c>
      <c r="N83" s="23">
        <f>Model!N155</f>
        <v>6630.0020006474197</v>
      </c>
      <c r="O83" s="23">
        <f>Model!O155</f>
        <v>7987.0806053448723</v>
      </c>
      <c r="P83" s="23">
        <f>Model!P155</f>
        <v>9622.8705982105785</v>
      </c>
    </row>
    <row r="84" spans="1:25" x14ac:dyDescent="0.25">
      <c r="A84" s="61" t="s">
        <v>54</v>
      </c>
      <c r="B84" s="24">
        <f>26.95+104.41</f>
        <v>131.35999999999999</v>
      </c>
      <c r="C84" s="23">
        <f>15.4+121.33</f>
        <v>136.72999999999999</v>
      </c>
      <c r="D84" s="23">
        <f>34.38+106.96</f>
        <v>141.34</v>
      </c>
      <c r="E84" s="23">
        <f>40.68+95.78</f>
        <v>136.46</v>
      </c>
      <c r="F84" s="23">
        <f>147.91+93.95</f>
        <v>241.86</v>
      </c>
      <c r="G84" s="23">
        <f>169.22+ 87.93</f>
        <v>257.14999999999998</v>
      </c>
      <c r="H84" s="23">
        <f>98.68+76.44</f>
        <v>175.12</v>
      </c>
      <c r="I84" s="23">
        <f>168.37+177.13</f>
        <v>345.5</v>
      </c>
      <c r="J84" s="24">
        <f>539.89+69.04</f>
        <v>608.92999999999995</v>
      </c>
      <c r="K84" s="27">
        <f>J84*105%</f>
        <v>639.37649999999996</v>
      </c>
      <c r="L84" s="27">
        <f t="shared" ref="L84:P84" si="54">K84*105%</f>
        <v>671.345325</v>
      </c>
      <c r="M84" s="27">
        <f t="shared" si="54"/>
        <v>704.91259124999999</v>
      </c>
      <c r="N84" s="27">
        <f t="shared" si="54"/>
        <v>740.15822081250008</v>
      </c>
      <c r="O84" s="27">
        <f t="shared" si="54"/>
        <v>777.16613185312508</v>
      </c>
      <c r="P84" s="27">
        <f t="shared" si="54"/>
        <v>816.02443844578136</v>
      </c>
    </row>
    <row r="85" spans="1:25" x14ac:dyDescent="0.25">
      <c r="A85" s="13" t="s">
        <v>55</v>
      </c>
      <c r="B85" s="24">
        <v>23.12</v>
      </c>
      <c r="C85" s="23">
        <v>24.18</v>
      </c>
      <c r="D85" s="23">
        <v>27.56</v>
      </c>
      <c r="E85" s="23">
        <v>25.03</v>
      </c>
      <c r="F85" s="23">
        <v>22.36</v>
      </c>
      <c r="G85" s="23">
        <v>22.95</v>
      </c>
      <c r="H85" s="23">
        <v>22.81</v>
      </c>
      <c r="I85" s="23">
        <v>23.71</v>
      </c>
      <c r="J85" s="24">
        <v>24.56</v>
      </c>
      <c r="K85" s="23">
        <f>K156</f>
        <v>505.93039357528289</v>
      </c>
      <c r="L85" s="23">
        <f t="shared" ref="L85:P85" si="55">L156</f>
        <v>609.30327620809157</v>
      </c>
      <c r="M85" s="23">
        <f t="shared" si="55"/>
        <v>733.87317253727645</v>
      </c>
      <c r="N85" s="23">
        <f t="shared" si="55"/>
        <v>884.00026675298932</v>
      </c>
      <c r="O85" s="23">
        <f t="shared" si="55"/>
        <v>1064.9440807126498</v>
      </c>
      <c r="P85" s="23">
        <f t="shared" si="55"/>
        <v>1283.0494130947441</v>
      </c>
    </row>
    <row r="86" spans="1:25" x14ac:dyDescent="0.25">
      <c r="A86" s="13" t="s">
        <v>56</v>
      </c>
      <c r="B86" s="24">
        <v>549.57000000000005</v>
      </c>
      <c r="C86" s="23">
        <v>388.29</v>
      </c>
      <c r="D86" s="23">
        <v>205.03</v>
      </c>
      <c r="E86" s="23">
        <v>239.22</v>
      </c>
      <c r="F86" s="23">
        <v>280.14</v>
      </c>
      <c r="G86" s="23">
        <v>213.37</v>
      </c>
      <c r="H86" s="23">
        <v>197.65</v>
      </c>
      <c r="I86" s="23">
        <v>235.07</v>
      </c>
      <c r="J86" s="24">
        <v>457.3</v>
      </c>
      <c r="K86" s="23">
        <f>K157</f>
        <v>607.1164722903394</v>
      </c>
      <c r="L86" s="23">
        <f t="shared" ref="L86:P86" si="56">L157</f>
        <v>731.16393144970993</v>
      </c>
      <c r="M86" s="23">
        <f t="shared" si="56"/>
        <v>880.64780704473174</v>
      </c>
      <c r="N86" s="23">
        <f t="shared" si="56"/>
        <v>1060.8003201035872</v>
      </c>
      <c r="O86" s="23">
        <f t="shared" si="56"/>
        <v>1277.9328968551797</v>
      </c>
      <c r="P86" s="23">
        <f t="shared" si="56"/>
        <v>1539.6592957136927</v>
      </c>
    </row>
    <row r="87" spans="1:25" x14ac:dyDescent="0.25">
      <c r="A87" s="13" t="s">
        <v>57</v>
      </c>
      <c r="B87" s="24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4">
        <v>0</v>
      </c>
      <c r="K87" s="24">
        <f>K158</f>
        <v>505.93039357528289</v>
      </c>
      <c r="L87" s="24">
        <f t="shared" ref="L87:P87" si="57">L158</f>
        <v>609.30327620809157</v>
      </c>
      <c r="M87" s="24">
        <f t="shared" si="57"/>
        <v>733.87317253727645</v>
      </c>
      <c r="N87" s="24">
        <f t="shared" si="57"/>
        <v>884.00026675298932</v>
      </c>
      <c r="O87" s="24">
        <f t="shared" si="57"/>
        <v>1064.9440807126498</v>
      </c>
      <c r="P87" s="24">
        <f t="shared" si="57"/>
        <v>1283.0494130947441</v>
      </c>
    </row>
    <row r="88" spans="1:25" x14ac:dyDescent="0.25">
      <c r="A88" s="13" t="s">
        <v>58</v>
      </c>
      <c r="B88" s="24">
        <v>3469.11</v>
      </c>
      <c r="C88" s="23">
        <v>4540.8500000000004</v>
      </c>
      <c r="D88" s="23">
        <v>5591.12</v>
      </c>
      <c r="E88" s="23">
        <v>3167.1</v>
      </c>
      <c r="F88" s="23">
        <v>4694.4799999999996</v>
      </c>
      <c r="G88" s="23">
        <v>6191.49</v>
      </c>
      <c r="H88" s="23">
        <v>5840.66</v>
      </c>
      <c r="I88" s="23">
        <v>3637.88</v>
      </c>
      <c r="J88" s="24">
        <v>4274.5200000000004</v>
      </c>
      <c r="K88" s="23">
        <v>-1466</v>
      </c>
      <c r="L88" s="23">
        <v>0</v>
      </c>
      <c r="M88" s="23">
        <v>0</v>
      </c>
      <c r="N88">
        <v>-332</v>
      </c>
      <c r="O88" s="23">
        <v>-1253</v>
      </c>
      <c r="P88" s="23">
        <v>-2877</v>
      </c>
    </row>
    <row r="89" spans="1:25" x14ac:dyDescent="0.25">
      <c r="A89" s="1" t="s">
        <v>47</v>
      </c>
      <c r="B89" s="24">
        <v>22.28</v>
      </c>
      <c r="C89" s="23">
        <v>144.94999999999999</v>
      </c>
      <c r="D89" s="23">
        <v>539.37</v>
      </c>
      <c r="E89" s="23">
        <v>653.89</v>
      </c>
      <c r="F89" s="23">
        <v>354.61</v>
      </c>
      <c r="G89" s="23">
        <v>371.52</v>
      </c>
      <c r="H89" s="23">
        <v>454.8</v>
      </c>
      <c r="I89" s="23">
        <v>562.33000000000004</v>
      </c>
      <c r="J89" s="24">
        <v>283.51</v>
      </c>
      <c r="K89" s="23">
        <f>K159</f>
        <v>7588.955903629243</v>
      </c>
      <c r="L89" s="23">
        <f t="shared" ref="L89:P89" si="58">L159</f>
        <v>9139.5491431213723</v>
      </c>
      <c r="M89" s="23">
        <f>M159</f>
        <v>11008.097588059145</v>
      </c>
      <c r="N89" s="23">
        <f t="shared" si="58"/>
        <v>13260.004001294839</v>
      </c>
      <c r="O89" s="23">
        <f t="shared" si="58"/>
        <v>15974.161210689745</v>
      </c>
      <c r="P89" s="23">
        <f t="shared" si="58"/>
        <v>19245.741196421157</v>
      </c>
    </row>
    <row r="90" spans="1:25" x14ac:dyDescent="0.25">
      <c r="A90" s="8" t="s">
        <v>38</v>
      </c>
      <c r="B90" s="10">
        <f t="shared" ref="B90:I90" si="59">SUM(B80,B67)</f>
        <v>12572.86</v>
      </c>
      <c r="C90" s="10">
        <f t="shared" si="59"/>
        <v>14694.259999999998</v>
      </c>
      <c r="D90" s="10">
        <f t="shared" si="59"/>
        <v>16738.800000000003</v>
      </c>
      <c r="E90" s="10">
        <f t="shared" si="59"/>
        <v>17641.12</v>
      </c>
      <c r="F90" s="10">
        <f t="shared" si="59"/>
        <v>18749.330000000002</v>
      </c>
      <c r="G90" s="10">
        <f>SUM(G80,G67)</f>
        <v>22161.050000000003</v>
      </c>
      <c r="H90" s="10">
        <f>SUM(H80,H67)</f>
        <v>21717.02</v>
      </c>
      <c r="I90" s="10">
        <f t="shared" si="59"/>
        <v>23263.14</v>
      </c>
      <c r="J90" s="10">
        <f>SUM(J80,J67)</f>
        <v>25571.550000000003</v>
      </c>
      <c r="K90" s="10">
        <f t="shared" ref="K90:P90" si="60">SUM(K80,K67)</f>
        <v>27957.317582761185</v>
      </c>
      <c r="L90" s="10">
        <f t="shared" si="60"/>
        <v>30101.76690458841</v>
      </c>
      <c r="M90" s="10">
        <f t="shared" si="60"/>
        <v>32614.145528144385</v>
      </c>
      <c r="N90" s="10">
        <f t="shared" si="60"/>
        <v>35565.157608129273</v>
      </c>
      <c r="O90" s="10">
        <f t="shared" si="60"/>
        <v>39046.799337531469</v>
      </c>
      <c r="P90" s="10">
        <f t="shared" si="60"/>
        <v>43164.58863515441</v>
      </c>
      <c r="Q90" s="12"/>
      <c r="R90" s="12"/>
      <c r="S90" s="12"/>
      <c r="T90" s="12"/>
      <c r="U90" s="12"/>
      <c r="V90" s="12"/>
      <c r="W90" s="12"/>
      <c r="X90" s="12"/>
      <c r="Y90" s="12"/>
    </row>
    <row r="91" spans="1:25" x14ac:dyDescent="0.25">
      <c r="A91" s="14" t="s">
        <v>59</v>
      </c>
      <c r="B91" s="15">
        <f>B62-B90</f>
        <v>0</v>
      </c>
      <c r="C91" s="15">
        <f>C62-C90</f>
        <v>0</v>
      </c>
      <c r="D91" s="15">
        <f t="shared" ref="D91:I91" si="61">D62-D90</f>
        <v>0</v>
      </c>
      <c r="E91" s="15">
        <f t="shared" si="61"/>
        <v>6.0000000001309672E-2</v>
      </c>
      <c r="F91" s="15">
        <f t="shared" si="61"/>
        <v>0</v>
      </c>
      <c r="G91" s="15">
        <f>G62-G90</f>
        <v>-0.47000000000480213</v>
      </c>
      <c r="H91" s="15">
        <f>H62-H90</f>
        <v>0.43999999999869033</v>
      </c>
      <c r="I91" s="15">
        <f t="shared" si="61"/>
        <v>0</v>
      </c>
      <c r="J91" s="15">
        <f>J62-J90</f>
        <v>0</v>
      </c>
      <c r="K91" s="15">
        <f>K62-K90</f>
        <v>-5.7731338907615282E-2</v>
      </c>
      <c r="L91" s="15">
        <f t="shared" ref="L91:P91" si="62">L62-L90</f>
        <v>0.45510932833713014</v>
      </c>
      <c r="M91" s="15">
        <f>M62-M90</f>
        <v>-0.45403168441043817</v>
      </c>
      <c r="N91" s="15">
        <f t="shared" si="62"/>
        <v>0.37291689764242619</v>
      </c>
      <c r="O91" s="15">
        <f t="shared" si="62"/>
        <v>4.5836228382540867E-3</v>
      </c>
      <c r="P91" s="15">
        <f t="shared" si="62"/>
        <v>0.33292286672076443</v>
      </c>
      <c r="Q91" s="16"/>
      <c r="R91" s="16"/>
      <c r="S91" s="16"/>
      <c r="T91" s="16"/>
      <c r="U91" s="16"/>
      <c r="V91" s="16"/>
      <c r="W91" s="16"/>
      <c r="X91" s="16"/>
      <c r="Y91" s="16"/>
    </row>
    <row r="92" spans="1:25" x14ac:dyDescent="0.25">
      <c r="A92" s="5"/>
      <c r="B92" s="17"/>
      <c r="C92" s="17"/>
      <c r="D92" s="17"/>
      <c r="E92" s="17"/>
      <c r="F92" s="17"/>
      <c r="G92" s="17"/>
      <c r="H92" s="17"/>
      <c r="I92" s="17"/>
      <c r="J92" s="6"/>
      <c r="P92" s="17"/>
    </row>
    <row r="93" spans="1:25" x14ac:dyDescent="0.25">
      <c r="A93" s="5" t="s">
        <v>60</v>
      </c>
      <c r="B93" s="17">
        <v>6762980</v>
      </c>
      <c r="C93" s="17">
        <v>7207363</v>
      </c>
      <c r="D93" s="17">
        <v>7587130</v>
      </c>
      <c r="E93" s="30">
        <v>7820745</v>
      </c>
      <c r="F93" s="17">
        <v>6400000</v>
      </c>
      <c r="G93" s="17">
        <v>5800000</v>
      </c>
      <c r="H93" s="17">
        <v>4900000</v>
      </c>
      <c r="I93" s="6">
        <v>5300000</v>
      </c>
      <c r="J93" s="6">
        <v>5600000</v>
      </c>
      <c r="K93" s="30">
        <f>J93+K94</f>
        <v>5798000</v>
      </c>
      <c r="L93" s="30">
        <f t="shared" ref="L93:P93" si="63">K93+L94</f>
        <v>6015800</v>
      </c>
      <c r="M93" s="30">
        <f t="shared" si="63"/>
        <v>6255380</v>
      </c>
      <c r="N93" s="30">
        <f t="shared" si="63"/>
        <v>6518918</v>
      </c>
      <c r="O93" s="30">
        <f t="shared" si="63"/>
        <v>6808809.7999999998</v>
      </c>
      <c r="P93" s="30">
        <f t="shared" si="63"/>
        <v>7127690.7800000003</v>
      </c>
    </row>
    <row r="94" spans="1:25" x14ac:dyDescent="0.25">
      <c r="A94" s="5" t="s">
        <v>61</v>
      </c>
      <c r="B94" s="18"/>
      <c r="C94" s="17">
        <f>C93-B93</f>
        <v>444383</v>
      </c>
      <c r="D94" s="17">
        <f t="shared" ref="D94:F94" si="64">D93-C93</f>
        <v>379767</v>
      </c>
      <c r="E94" s="17">
        <f t="shared" si="64"/>
        <v>233615</v>
      </c>
      <c r="F94" s="17">
        <f t="shared" si="64"/>
        <v>-1420745</v>
      </c>
      <c r="G94" s="17">
        <f>G93-F93</f>
        <v>-600000</v>
      </c>
      <c r="H94" s="17">
        <f>H93-G93</f>
        <v>-900000</v>
      </c>
      <c r="I94" s="17">
        <f>I96-H93</f>
        <v>520000</v>
      </c>
      <c r="J94" s="17">
        <f>J93-I96</f>
        <v>180000</v>
      </c>
      <c r="K94" s="17">
        <f>J94*110%</f>
        <v>198000.00000000003</v>
      </c>
      <c r="L94" s="17">
        <f t="shared" ref="L94:P94" si="65">K94*110%</f>
        <v>217800.00000000006</v>
      </c>
      <c r="M94" s="17">
        <f t="shared" si="65"/>
        <v>239580.00000000009</v>
      </c>
      <c r="N94" s="17">
        <f t="shared" si="65"/>
        <v>263538.00000000012</v>
      </c>
      <c r="O94" s="17">
        <f t="shared" si="65"/>
        <v>289891.80000000016</v>
      </c>
      <c r="P94" s="17">
        <f t="shared" si="65"/>
        <v>318880.98000000021</v>
      </c>
    </row>
    <row r="95" spans="1:25" x14ac:dyDescent="0.25">
      <c r="A95" s="5"/>
      <c r="B95" s="18"/>
      <c r="C95" s="18"/>
      <c r="D95" s="18"/>
      <c r="E95" s="18"/>
      <c r="F95" s="18"/>
      <c r="G95" s="18"/>
      <c r="H95" s="18"/>
      <c r="I95" s="18"/>
      <c r="J95" s="6"/>
    </row>
    <row r="96" spans="1:25" x14ac:dyDescent="0.25">
      <c r="A96" s="5" t="s">
        <v>62</v>
      </c>
      <c r="B96" s="32">
        <v>6486103</v>
      </c>
      <c r="C96" s="17">
        <v>7207363</v>
      </c>
      <c r="D96" s="17">
        <v>7360000</v>
      </c>
      <c r="E96" s="17">
        <v>7612775</v>
      </c>
      <c r="F96" s="17">
        <v>6231458</v>
      </c>
      <c r="G96" s="17">
        <v>5039092</v>
      </c>
      <c r="H96" s="17">
        <v>4900000</v>
      </c>
      <c r="I96" s="17">
        <v>5420000</v>
      </c>
      <c r="J96" s="6">
        <v>5550200</v>
      </c>
    </row>
    <row r="97" spans="1:25" x14ac:dyDescent="0.25">
      <c r="A97" s="5" t="s">
        <v>63</v>
      </c>
      <c r="B97" s="17">
        <v>146800</v>
      </c>
      <c r="C97" s="17">
        <v>183846</v>
      </c>
      <c r="D97" s="17">
        <v>194000</v>
      </c>
      <c r="E97" s="17">
        <v>282000</v>
      </c>
      <c r="F97" s="17">
        <v>270000</v>
      </c>
      <c r="G97" s="17">
        <v>238941</v>
      </c>
      <c r="H97" s="17">
        <v>288788</v>
      </c>
      <c r="I97" s="17">
        <v>225800</v>
      </c>
      <c r="J97" s="17">
        <v>186644</v>
      </c>
    </row>
    <row r="98" spans="1:25" s="34" customFormat="1" x14ac:dyDescent="0.25">
      <c r="A98" s="19" t="s">
        <v>38</v>
      </c>
      <c r="B98" s="10">
        <f>B96+B97</f>
        <v>6632903</v>
      </c>
      <c r="C98" s="10">
        <f t="shared" ref="C98:J98" si="66">C96+C97</f>
        <v>7391209</v>
      </c>
      <c r="D98" s="10">
        <f t="shared" si="66"/>
        <v>7554000</v>
      </c>
      <c r="E98" s="10">
        <f t="shared" si="66"/>
        <v>7894775</v>
      </c>
      <c r="F98" s="10">
        <f t="shared" si="66"/>
        <v>6501458</v>
      </c>
      <c r="G98" s="10">
        <f t="shared" si="66"/>
        <v>5278033</v>
      </c>
      <c r="H98" s="10">
        <f t="shared" si="66"/>
        <v>5188788</v>
      </c>
      <c r="I98" s="10">
        <f t="shared" si="66"/>
        <v>5645800</v>
      </c>
      <c r="J98" s="10">
        <f t="shared" si="66"/>
        <v>5736844</v>
      </c>
      <c r="K98" s="33">
        <f>K109*K116</f>
        <v>6918750</v>
      </c>
      <c r="L98" s="33">
        <f t="shared" ref="L98:P98" si="67">L109*L116</f>
        <v>7439647.5</v>
      </c>
      <c r="M98" s="33">
        <f t="shared" si="67"/>
        <v>8000586.6749999998</v>
      </c>
      <c r="N98" s="33">
        <f t="shared" si="67"/>
        <v>8604689.3527499996</v>
      </c>
      <c r="O98" s="33">
        <f t="shared" si="67"/>
        <v>9255323.0319075007</v>
      </c>
      <c r="P98" s="33">
        <f t="shared" si="67"/>
        <v>9956120.331944475</v>
      </c>
    </row>
    <row r="99" spans="1:25" x14ac:dyDescent="0.25">
      <c r="A99" s="5"/>
      <c r="J99" s="6"/>
    </row>
    <row r="100" spans="1:25" x14ac:dyDescent="0.25">
      <c r="A100" s="19" t="s">
        <v>64</v>
      </c>
      <c r="B100" s="35">
        <f>B98/B93</f>
        <v>0.98076631898955791</v>
      </c>
      <c r="C100" s="35">
        <f t="shared" ref="C100:I100" si="68">C98/C93</f>
        <v>1.0255080811109416</v>
      </c>
      <c r="D100" s="35">
        <f t="shared" si="68"/>
        <v>0.99563339497280268</v>
      </c>
      <c r="E100" s="35">
        <f t="shared" si="68"/>
        <v>1.009465850120417</v>
      </c>
      <c r="F100" s="35">
        <f t="shared" si="68"/>
        <v>1.0158528124999999</v>
      </c>
      <c r="G100" s="35">
        <f t="shared" si="68"/>
        <v>0.91000568965517237</v>
      </c>
      <c r="H100" s="35">
        <f t="shared" si="68"/>
        <v>1.0589363265306122</v>
      </c>
      <c r="I100" s="35">
        <f t="shared" si="68"/>
        <v>1.0652452830188679</v>
      </c>
      <c r="J100" s="35">
        <f>J98/J93</f>
        <v>1.0244364285714285</v>
      </c>
      <c r="K100" s="47">
        <f>K98/K93</f>
        <v>1.1932994135908934</v>
      </c>
      <c r="L100" s="47">
        <f t="shared" ref="L100:P100" si="69">L98/L93</f>
        <v>1.2366846470959807</v>
      </c>
      <c r="M100" s="47">
        <f t="shared" si="69"/>
        <v>1.2789929109022953</v>
      </c>
      <c r="N100" s="47">
        <f t="shared" si="69"/>
        <v>1.3199566788154107</v>
      </c>
      <c r="O100" s="47">
        <f t="shared" si="69"/>
        <v>1.3593158428228529</v>
      </c>
      <c r="P100" s="47">
        <f t="shared" si="69"/>
        <v>1.3968227072758164</v>
      </c>
    </row>
    <row r="101" spans="1:25" x14ac:dyDescent="0.25">
      <c r="A101" s="5"/>
      <c r="J101" s="6"/>
    </row>
    <row r="102" spans="1:25" x14ac:dyDescent="0.25">
      <c r="A102" s="5" t="s">
        <v>65</v>
      </c>
      <c r="C102" s="20">
        <f>C96/B96-1</f>
        <v>0.11120082428539901</v>
      </c>
      <c r="D102" s="20">
        <f t="shared" ref="D102:I102" si="70">D96/C96-1</f>
        <v>2.1177925962657884E-2</v>
      </c>
      <c r="E102" s="20">
        <f t="shared" si="70"/>
        <v>3.4344429347826111E-2</v>
      </c>
      <c r="F102" s="20">
        <f t="shared" si="70"/>
        <v>-0.1814472383592054</v>
      </c>
      <c r="G102" s="20">
        <f t="shared" si="70"/>
        <v>-0.19134623068951118</v>
      </c>
      <c r="H102" s="20">
        <f t="shared" si="70"/>
        <v>-2.7602591895524053E-2</v>
      </c>
      <c r="I102" s="20">
        <f t="shared" si="70"/>
        <v>0.10612244897959178</v>
      </c>
      <c r="J102" s="20">
        <f>J96/I96-1</f>
        <v>2.4022140221402255E-2</v>
      </c>
      <c r="K102" s="20"/>
      <c r="L102" s="20"/>
      <c r="M102" s="20"/>
      <c r="N102" s="20"/>
      <c r="O102" s="20"/>
      <c r="P102" s="20"/>
    </row>
    <row r="103" spans="1:25" x14ac:dyDescent="0.25">
      <c r="A103" s="5" t="s">
        <v>66</v>
      </c>
      <c r="C103" s="20">
        <f>C97/B97-1</f>
        <v>0.25235694822888277</v>
      </c>
      <c r="D103" s="20">
        <f t="shared" ref="D103:J103" si="71">D97/C97-1</f>
        <v>5.5231008561513528E-2</v>
      </c>
      <c r="E103" s="20">
        <f t="shared" si="71"/>
        <v>0.45360824742268036</v>
      </c>
      <c r="F103" s="20">
        <f t="shared" si="71"/>
        <v>-4.2553191489361653E-2</v>
      </c>
      <c r="G103" s="20">
        <f t="shared" si="71"/>
        <v>-0.11503333333333332</v>
      </c>
      <c r="H103" s="20">
        <f t="shared" si="71"/>
        <v>0.20861635299090575</v>
      </c>
      <c r="I103" s="20">
        <f t="shared" si="71"/>
        <v>-0.21811155588182329</v>
      </c>
      <c r="J103" s="20">
        <f t="shared" si="71"/>
        <v>-0.17341009743135516</v>
      </c>
      <c r="K103" s="20"/>
      <c r="L103" s="20"/>
      <c r="M103" s="20"/>
      <c r="N103" s="20"/>
      <c r="O103" s="20"/>
      <c r="P103" s="20"/>
    </row>
    <row r="104" spans="1:25" x14ac:dyDescent="0.25">
      <c r="A104" s="19" t="s">
        <v>67</v>
      </c>
      <c r="C104" s="20">
        <f>C98/B98-1</f>
        <v>0.11432490419353325</v>
      </c>
      <c r="D104" s="20">
        <f t="shared" ref="D104:I104" si="72">D98/C98-1</f>
        <v>2.2024948827722213E-2</v>
      </c>
      <c r="E104" s="20">
        <f t="shared" si="72"/>
        <v>4.5111861265554776E-2</v>
      </c>
      <c r="F104" s="20">
        <f t="shared" si="72"/>
        <v>-0.17648596698449293</v>
      </c>
      <c r="G104" s="20">
        <f t="shared" si="72"/>
        <v>-0.18817702121585655</v>
      </c>
      <c r="H104" s="20">
        <f t="shared" si="72"/>
        <v>-1.6908761275270523E-2</v>
      </c>
      <c r="I104" s="20">
        <f t="shared" si="72"/>
        <v>8.8076830273273732E-2</v>
      </c>
      <c r="J104" s="20">
        <f>J98/I98-1</f>
        <v>1.6125969747422753E-2</v>
      </c>
      <c r="K104" s="20"/>
      <c r="L104" s="20"/>
      <c r="M104" s="20"/>
      <c r="N104" s="20"/>
      <c r="O104" s="20"/>
      <c r="P104" s="20"/>
    </row>
    <row r="105" spans="1:25" x14ac:dyDescent="0.25">
      <c r="A105" s="5"/>
      <c r="J105" s="6"/>
    </row>
    <row r="106" spans="1:25" x14ac:dyDescent="0.25">
      <c r="A106" s="19" t="s">
        <v>68</v>
      </c>
      <c r="J106" s="6"/>
    </row>
    <row r="107" spans="1:25" x14ac:dyDescent="0.25">
      <c r="A107" s="5" t="s">
        <v>69</v>
      </c>
      <c r="B107" s="17">
        <v>16000000</v>
      </c>
      <c r="C107" s="17">
        <v>17700000</v>
      </c>
      <c r="D107" s="17">
        <v>20200000</v>
      </c>
      <c r="E107" s="17">
        <v>21000000</v>
      </c>
      <c r="F107" s="17">
        <v>17400000</v>
      </c>
      <c r="G107" s="17">
        <v>15100000</v>
      </c>
      <c r="H107" s="17">
        <v>13600000</v>
      </c>
      <c r="I107" s="17">
        <v>15900000</v>
      </c>
      <c r="J107" s="6">
        <v>18000000</v>
      </c>
      <c r="K107" s="17">
        <f>J107*(1+K110)</f>
        <v>19440000</v>
      </c>
      <c r="L107" s="17">
        <f t="shared" ref="L107:P107" si="73">K107*(1+L110)</f>
        <v>20995200</v>
      </c>
      <c r="M107" s="17">
        <f t="shared" si="73"/>
        <v>22674816</v>
      </c>
      <c r="N107" s="17">
        <f t="shared" si="73"/>
        <v>24488801.280000001</v>
      </c>
      <c r="O107" s="17">
        <f t="shared" si="73"/>
        <v>26447905.382400002</v>
      </c>
      <c r="P107" s="17">
        <f t="shared" si="73"/>
        <v>28563737.812992003</v>
      </c>
    </row>
    <row r="108" spans="1:25" x14ac:dyDescent="0.25">
      <c r="A108" s="5" t="s">
        <v>63</v>
      </c>
      <c r="B108" s="17">
        <v>2700000</v>
      </c>
      <c r="C108" s="17">
        <v>3100000</v>
      </c>
      <c r="D108" s="17">
        <v>3500000</v>
      </c>
      <c r="E108" s="17">
        <v>3300000</v>
      </c>
      <c r="F108" s="17">
        <v>3500000</v>
      </c>
      <c r="G108" s="17">
        <v>4021000</v>
      </c>
      <c r="H108" s="17">
        <v>4440000</v>
      </c>
      <c r="I108" s="17">
        <v>3650000</v>
      </c>
      <c r="J108" s="6">
        <v>3450000</v>
      </c>
      <c r="K108" s="17">
        <f>J108*(1+K111)</f>
        <v>3622500</v>
      </c>
      <c r="L108" s="17">
        <f>K108*(1+L111)</f>
        <v>3803625</v>
      </c>
      <c r="M108" s="17">
        <f t="shared" ref="M108:P108" si="74">L108*(1+M111)</f>
        <v>3993806.25</v>
      </c>
      <c r="N108" s="17">
        <f t="shared" si="74"/>
        <v>4193496.5625</v>
      </c>
      <c r="O108" s="17">
        <f t="shared" si="74"/>
        <v>4403171.390625</v>
      </c>
      <c r="P108" s="17">
        <f t="shared" si="74"/>
        <v>4623329.9601562498</v>
      </c>
      <c r="Y108" s="17"/>
    </row>
    <row r="109" spans="1:25" s="34" customFormat="1" x14ac:dyDescent="0.25">
      <c r="A109" s="19" t="s">
        <v>38</v>
      </c>
      <c r="B109" s="10">
        <f>B107+B108</f>
        <v>18700000</v>
      </c>
      <c r="C109" s="10">
        <f t="shared" ref="C109:J109" si="75">C107+C108</f>
        <v>20800000</v>
      </c>
      <c r="D109" s="10">
        <f t="shared" si="75"/>
        <v>23700000</v>
      </c>
      <c r="E109" s="10">
        <f t="shared" si="75"/>
        <v>24300000</v>
      </c>
      <c r="F109" s="10">
        <f t="shared" si="75"/>
        <v>20900000</v>
      </c>
      <c r="G109" s="10">
        <f t="shared" si="75"/>
        <v>19121000</v>
      </c>
      <c r="H109" s="10">
        <f t="shared" si="75"/>
        <v>18040000</v>
      </c>
      <c r="I109" s="10">
        <f t="shared" si="75"/>
        <v>19550000</v>
      </c>
      <c r="J109" s="10">
        <f t="shared" si="75"/>
        <v>21450000</v>
      </c>
      <c r="K109" s="10">
        <f t="shared" ref="K109" si="76">K107+K108</f>
        <v>23062500</v>
      </c>
      <c r="L109" s="10">
        <f t="shared" ref="L109" si="77">L107+L108</f>
        <v>24798825</v>
      </c>
      <c r="M109" s="10">
        <f t="shared" ref="M109" si="78">M107+M108</f>
        <v>26668622.25</v>
      </c>
      <c r="N109" s="10">
        <f t="shared" ref="N109" si="79">N107+N108</f>
        <v>28682297.842500001</v>
      </c>
      <c r="O109" s="10">
        <f t="shared" ref="O109" si="80">O107+O108</f>
        <v>30851076.773025002</v>
      </c>
      <c r="P109" s="10">
        <f t="shared" ref="P109" si="81">P107+P108</f>
        <v>33187067.773148254</v>
      </c>
    </row>
    <row r="110" spans="1:25" x14ac:dyDescent="0.25">
      <c r="A110" s="5" t="s">
        <v>70</v>
      </c>
      <c r="C110" s="20">
        <f>C107/B107-1</f>
        <v>0.10624999999999996</v>
      </c>
      <c r="D110" s="20">
        <f t="shared" ref="D110:H110" si="82">D107/C107-1</f>
        <v>0.14124293785310726</v>
      </c>
      <c r="E110" s="20">
        <f t="shared" si="82"/>
        <v>3.9603960396039639E-2</v>
      </c>
      <c r="F110" s="20">
        <f t="shared" si="82"/>
        <v>-0.17142857142857137</v>
      </c>
      <c r="G110" s="20">
        <f t="shared" si="82"/>
        <v>-0.13218390804597702</v>
      </c>
      <c r="H110" s="20">
        <f t="shared" si="82"/>
        <v>-9.9337748344370813E-2</v>
      </c>
      <c r="I110" s="20">
        <f>I107/H107-1</f>
        <v>0.16911764705882359</v>
      </c>
      <c r="J110" s="20">
        <f>J107/I107-1</f>
        <v>0.13207547169811318</v>
      </c>
      <c r="K110" s="21">
        <v>0.08</v>
      </c>
      <c r="L110" s="21">
        <v>0.08</v>
      </c>
      <c r="M110" s="21">
        <v>0.08</v>
      </c>
      <c r="N110" s="21">
        <v>0.08</v>
      </c>
      <c r="O110" s="21">
        <v>0.08</v>
      </c>
      <c r="P110" s="21">
        <v>0.08</v>
      </c>
    </row>
    <row r="111" spans="1:25" x14ac:dyDescent="0.25">
      <c r="A111" s="5" t="s">
        <v>71</v>
      </c>
      <c r="C111" s="20">
        <f>C108/B108-1</f>
        <v>0.14814814814814814</v>
      </c>
      <c r="D111" s="20">
        <f t="shared" ref="D111:G111" si="83">D108/C108-1</f>
        <v>0.12903225806451624</v>
      </c>
      <c r="E111" s="20">
        <f t="shared" si="83"/>
        <v>-5.7142857142857162E-2</v>
      </c>
      <c r="F111" s="20">
        <f t="shared" si="83"/>
        <v>6.0606060606060552E-2</v>
      </c>
      <c r="G111" s="20">
        <f t="shared" si="83"/>
        <v>0.1488571428571428</v>
      </c>
      <c r="H111" s="20">
        <f>H108/G108-1</f>
        <v>0.10420293459338481</v>
      </c>
      <c r="I111" s="20">
        <f>I108/H108-1</f>
        <v>-0.17792792792792789</v>
      </c>
      <c r="J111" s="20">
        <f>J108/I108-1</f>
        <v>-5.4794520547945202E-2</v>
      </c>
      <c r="K111" s="21">
        <v>0.05</v>
      </c>
      <c r="L111" s="21">
        <v>0.05</v>
      </c>
      <c r="M111" s="21">
        <v>0.05</v>
      </c>
      <c r="N111" s="21">
        <v>0.05</v>
      </c>
      <c r="O111" s="21">
        <v>0.05</v>
      </c>
      <c r="P111" s="21">
        <v>0.05</v>
      </c>
    </row>
    <row r="112" spans="1:25" x14ac:dyDescent="0.25">
      <c r="A112" s="5"/>
      <c r="J112" s="6"/>
    </row>
    <row r="113" spans="1:25" x14ac:dyDescent="0.25">
      <c r="A113" s="19" t="s">
        <v>72</v>
      </c>
      <c r="J113" s="6"/>
    </row>
    <row r="114" spans="1:25" x14ac:dyDescent="0.25">
      <c r="A114" s="5" t="s">
        <v>62</v>
      </c>
      <c r="B114" s="20">
        <f>B96/B107</f>
        <v>0.4053814375</v>
      </c>
      <c r="C114" s="20">
        <f t="shared" ref="C114:J114" si="84">C96/C107</f>
        <v>0.4071956497175141</v>
      </c>
      <c r="D114" s="20">
        <f t="shared" si="84"/>
        <v>0.36435643564356435</v>
      </c>
      <c r="E114" s="20">
        <f t="shared" si="84"/>
        <v>0.36251309523809522</v>
      </c>
      <c r="F114" s="20">
        <f t="shared" si="84"/>
        <v>0.35812977011494251</v>
      </c>
      <c r="G114" s="20">
        <f t="shared" si="84"/>
        <v>0.33371470198675496</v>
      </c>
      <c r="H114" s="20">
        <f t="shared" si="84"/>
        <v>0.36029411764705882</v>
      </c>
      <c r="I114" s="20">
        <f t="shared" si="84"/>
        <v>0.34088050314465407</v>
      </c>
      <c r="J114" s="20">
        <f t="shared" si="84"/>
        <v>0.30834444444444442</v>
      </c>
      <c r="K114" s="22"/>
      <c r="L114" s="22"/>
      <c r="M114" s="22"/>
      <c r="N114" s="22"/>
      <c r="O114" s="22"/>
      <c r="P114" s="22"/>
    </row>
    <row r="115" spans="1:25" x14ac:dyDescent="0.25">
      <c r="A115" s="5" t="s">
        <v>63</v>
      </c>
      <c r="B115" s="20">
        <f>B97/B108</f>
        <v>5.4370370370370368E-2</v>
      </c>
      <c r="C115" s="20">
        <f t="shared" ref="C115:J115" si="85">C97/C108</f>
        <v>5.9305161290322581E-2</v>
      </c>
      <c r="D115" s="20">
        <f t="shared" si="85"/>
        <v>5.5428571428571431E-2</v>
      </c>
      <c r="E115" s="20">
        <f t="shared" si="85"/>
        <v>8.545454545454545E-2</v>
      </c>
      <c r="F115" s="20">
        <f t="shared" si="85"/>
        <v>7.7142857142857138E-2</v>
      </c>
      <c r="G115" s="20">
        <f t="shared" si="85"/>
        <v>5.9423277791594134E-2</v>
      </c>
      <c r="H115" s="20">
        <f t="shared" si="85"/>
        <v>6.5042342342342338E-2</v>
      </c>
      <c r="I115" s="20">
        <f t="shared" si="85"/>
        <v>6.1863013698630134E-2</v>
      </c>
      <c r="J115" s="20">
        <f t="shared" si="85"/>
        <v>5.4099710144927537E-2</v>
      </c>
      <c r="K115" s="22"/>
      <c r="L115" s="22"/>
      <c r="M115" s="22"/>
      <c r="N115" s="22"/>
      <c r="O115" s="22"/>
      <c r="P115" s="22"/>
    </row>
    <row r="116" spans="1:25" s="34" customFormat="1" x14ac:dyDescent="0.25">
      <c r="A116" s="19" t="s">
        <v>73</v>
      </c>
      <c r="B116" s="35">
        <f>B98/B109</f>
        <v>0.35470069518716579</v>
      </c>
      <c r="C116" s="35">
        <f t="shared" ref="C116:J116" si="86">C98/C109</f>
        <v>0.35534658653846152</v>
      </c>
      <c r="D116" s="35">
        <f t="shared" si="86"/>
        <v>0.31873417721518987</v>
      </c>
      <c r="E116" s="35">
        <f t="shared" si="86"/>
        <v>0.32488786008230452</v>
      </c>
      <c r="F116" s="35">
        <f t="shared" si="86"/>
        <v>0.31107454545454544</v>
      </c>
      <c r="G116" s="35">
        <f t="shared" si="86"/>
        <v>0.27603331415720933</v>
      </c>
      <c r="H116" s="35">
        <f t="shared" si="86"/>
        <v>0.28762682926829269</v>
      </c>
      <c r="I116" s="35">
        <f t="shared" si="86"/>
        <v>0.28878772378516626</v>
      </c>
      <c r="J116" s="35">
        <f t="shared" si="86"/>
        <v>0.26745193473193474</v>
      </c>
      <c r="K116" s="47">
        <v>0.3</v>
      </c>
      <c r="L116" s="47">
        <v>0.3</v>
      </c>
      <c r="M116" s="47">
        <v>0.3</v>
      </c>
      <c r="N116" s="47">
        <v>0.3</v>
      </c>
      <c r="O116" s="47">
        <v>0.3</v>
      </c>
      <c r="P116" s="47">
        <v>0.3</v>
      </c>
      <c r="Y116" s="35"/>
    </row>
    <row r="117" spans="1:25" x14ac:dyDescent="0.25">
      <c r="A117" s="5"/>
      <c r="J117" s="6"/>
    </row>
    <row r="118" spans="1:25" x14ac:dyDescent="0.25">
      <c r="A118" s="5"/>
      <c r="J118" s="6"/>
    </row>
    <row r="119" spans="1:25" x14ac:dyDescent="0.25">
      <c r="A119" s="5" t="s">
        <v>74</v>
      </c>
      <c r="B119" s="6">
        <f>(B3/B98)*10^6</f>
        <v>4628.5736426418416</v>
      </c>
      <c r="C119" s="6">
        <f t="shared" ref="C119:J119" si="87">(C3/C98)*10^6</f>
        <v>4188.5150318439109</v>
      </c>
      <c r="D119" s="6">
        <f t="shared" si="87"/>
        <v>4381.9089224252048</v>
      </c>
      <c r="E119" s="6">
        <f t="shared" si="87"/>
        <v>4303.1283348797151</v>
      </c>
      <c r="F119" s="6">
        <f t="shared" si="87"/>
        <v>4435.3266605736744</v>
      </c>
      <c r="G119" s="6">
        <f t="shared" si="87"/>
        <v>5865.6681381113003</v>
      </c>
      <c r="H119" s="6">
        <f t="shared" si="87"/>
        <v>5636.2815362662723</v>
      </c>
      <c r="I119" s="6">
        <f t="shared" si="87"/>
        <v>5987.7519572071269</v>
      </c>
      <c r="J119" s="6">
        <f t="shared" si="87"/>
        <v>6528.9765592370995</v>
      </c>
      <c r="K119" s="6">
        <f>J119+(J119*K120)</f>
        <v>7312.4537463455517</v>
      </c>
      <c r="L119" s="6">
        <f>K119+(K119*L120)</f>
        <v>8189.9481959070181</v>
      </c>
      <c r="M119" s="6">
        <f t="shared" ref="M119:P119" si="88">L119+(L119*M120)</f>
        <v>9172.7419794158595</v>
      </c>
      <c r="N119" s="6">
        <f t="shared" si="88"/>
        <v>10273.471016945763</v>
      </c>
      <c r="O119" s="6">
        <f t="shared" si="88"/>
        <v>11506.287538979255</v>
      </c>
      <c r="P119" s="6">
        <f t="shared" si="88"/>
        <v>12887.042043656766</v>
      </c>
    </row>
    <row r="120" spans="1:25" x14ac:dyDescent="0.25">
      <c r="A120" s="5" t="s">
        <v>75</v>
      </c>
      <c r="C120" s="20">
        <f>C119/B119-1</f>
        <v>-9.5074345743100142E-2</v>
      </c>
      <c r="D120" s="20">
        <f t="shared" ref="D120:J120" si="89">D119/C119-1</f>
        <v>4.6172423665901574E-2</v>
      </c>
      <c r="E120" s="20">
        <f t="shared" si="89"/>
        <v>-1.7978599952709118E-2</v>
      </c>
      <c r="F120" s="20">
        <f t="shared" si="89"/>
        <v>3.0721446214467818E-2</v>
      </c>
      <c r="G120" s="20">
        <f t="shared" si="89"/>
        <v>0.32248841787734817</v>
      </c>
      <c r="H120" s="20">
        <f t="shared" si="89"/>
        <v>-3.9106645047752187E-2</v>
      </c>
      <c r="I120" s="20">
        <f t="shared" si="89"/>
        <v>6.2358563652177734E-2</v>
      </c>
      <c r="J120" s="20">
        <f t="shared" si="89"/>
        <v>9.0388614274265366E-2</v>
      </c>
      <c r="K120" s="47">
        <v>0.12</v>
      </c>
      <c r="L120" s="47">
        <v>0.12</v>
      </c>
      <c r="M120" s="47">
        <v>0.12</v>
      </c>
      <c r="N120" s="47">
        <v>0.12</v>
      </c>
      <c r="O120" s="47">
        <v>0.12</v>
      </c>
      <c r="P120" s="47">
        <v>0.12</v>
      </c>
    </row>
    <row r="121" spans="1:25" x14ac:dyDescent="0.25">
      <c r="A121" s="5"/>
      <c r="J121" s="6"/>
    </row>
    <row r="122" spans="1:25" x14ac:dyDescent="0.25">
      <c r="J122" s="6"/>
    </row>
    <row r="123" spans="1:25" x14ac:dyDescent="0.25">
      <c r="A123" s="19" t="s">
        <v>76</v>
      </c>
      <c r="J123" s="6"/>
    </row>
    <row r="124" spans="1:25" x14ac:dyDescent="0.25">
      <c r="A124" s="1" t="s">
        <v>5</v>
      </c>
      <c r="B124" s="20">
        <f>B9/$B$3</f>
        <v>0.62935394685754942</v>
      </c>
      <c r="C124" s="20">
        <f>C9/$C$3</f>
        <v>0.61353296171384697</v>
      </c>
      <c r="D124" s="20">
        <f>D9/$D$3</f>
        <v>0.66451103805511258</v>
      </c>
      <c r="E124" s="20">
        <f>E9/$E$3</f>
        <v>0.68721128992709624</v>
      </c>
      <c r="F124" s="20">
        <f>F9/$F$3</f>
        <v>0.68896962105472681</v>
      </c>
      <c r="G124" s="20">
        <f>G9/$G$3</f>
        <v>0.70958058011207659</v>
      </c>
      <c r="H124" s="20">
        <f>H9/$H$3</f>
        <v>0.70807786641828629</v>
      </c>
      <c r="I124" s="20">
        <f>I9/$I$3</f>
        <v>0.71052412836315815</v>
      </c>
      <c r="J124" s="20">
        <f>J9/$J$3</f>
        <v>0.66124639974882338</v>
      </c>
      <c r="K124" s="48">
        <f>J124+(J124*2%)</f>
        <v>0.67447132774379981</v>
      </c>
      <c r="L124" s="48">
        <f t="shared" ref="L124:P124" si="90">K124+(K124*2%)</f>
        <v>0.68796075429867576</v>
      </c>
      <c r="M124" s="48">
        <f t="shared" si="90"/>
        <v>0.70171996938464931</v>
      </c>
      <c r="N124" s="48">
        <f t="shared" si="90"/>
        <v>0.71575436877234233</v>
      </c>
      <c r="O124" s="48">
        <f t="shared" si="90"/>
        <v>0.73006945614778918</v>
      </c>
      <c r="P124" s="48">
        <f t="shared" si="90"/>
        <v>0.74467084527074501</v>
      </c>
    </row>
    <row r="125" spans="1:25" x14ac:dyDescent="0.25">
      <c r="A125" s="1" t="s">
        <v>6</v>
      </c>
      <c r="B125" s="20">
        <f t="shared" ref="B125" si="91">B10/$B$3</f>
        <v>0</v>
      </c>
      <c r="C125" s="20">
        <f>C10/$B$3</f>
        <v>0</v>
      </c>
      <c r="D125" s="20">
        <f t="shared" ref="D125:D129" si="92">D10/$D$3</f>
        <v>0</v>
      </c>
      <c r="E125" s="20">
        <f t="shared" ref="E125:E129" si="93">E10/$E$3</f>
        <v>0</v>
      </c>
      <c r="F125" s="20">
        <f t="shared" ref="F125:F129" si="94">F10/$F$3</f>
        <v>0</v>
      </c>
      <c r="G125" s="20">
        <f t="shared" ref="G125:G129" si="95">G10/$G$3</f>
        <v>1.0058402690768073E-3</v>
      </c>
      <c r="H125" s="20">
        <f t="shared" ref="H125:H129" si="96">H10/$H$3</f>
        <v>1.5711835029493457E-3</v>
      </c>
      <c r="I125" s="20">
        <f t="shared" ref="I125:I129" si="97">I10/$I$3</f>
        <v>1.4030199093938438E-3</v>
      </c>
      <c r="J125" s="20">
        <f t="shared" ref="J125:J129" si="98">J10/$J$3</f>
        <v>1.2927264513938058E-2</v>
      </c>
      <c r="K125" s="48">
        <f t="shared" ref="K125:P129" si="99">J125+(J125*2%)</f>
        <v>1.318580980421682E-2</v>
      </c>
      <c r="L125" s="48">
        <f t="shared" si="99"/>
        <v>1.3449526000301157E-2</v>
      </c>
      <c r="M125" s="48">
        <f t="shared" si="99"/>
        <v>1.3718516520307179E-2</v>
      </c>
      <c r="N125" s="48">
        <f t="shared" si="99"/>
        <v>1.3992886850713322E-2</v>
      </c>
      <c r="O125" s="48">
        <f t="shared" si="99"/>
        <v>1.4272744587727589E-2</v>
      </c>
      <c r="P125" s="48">
        <f t="shared" si="99"/>
        <v>1.4558199479482141E-2</v>
      </c>
    </row>
    <row r="126" spans="1:25" x14ac:dyDescent="0.25">
      <c r="A126" s="1" t="s">
        <v>7</v>
      </c>
      <c r="B126" s="20">
        <f>B11/$B$3</f>
        <v>-3.8695959203775268E-4</v>
      </c>
      <c r="C126" s="20">
        <f>C11/$B$3</f>
        <v>3.1510497418966491E-3</v>
      </c>
      <c r="D126" s="20">
        <f t="shared" si="92"/>
        <v>-3.3267937406007198E-3</v>
      </c>
      <c r="E126" s="20">
        <f t="shared" si="93"/>
        <v>-8.3538819794873624E-4</v>
      </c>
      <c r="F126" s="20">
        <f t="shared" si="94"/>
        <v>-5.8877607886506115E-3</v>
      </c>
      <c r="G126" s="20">
        <f t="shared" si="95"/>
        <v>-8.255060936671792E-3</v>
      </c>
      <c r="H126" s="20">
        <f t="shared" si="96"/>
        <v>2.4861970076049383E-3</v>
      </c>
      <c r="I126" s="20">
        <f t="shared" si="97"/>
        <v>-6.1835817385555367E-3</v>
      </c>
      <c r="J126" s="20">
        <f t="shared" si="98"/>
        <v>4.7819131497138486E-3</v>
      </c>
      <c r="K126" s="48">
        <f t="shared" si="99"/>
        <v>4.8775514127081254E-3</v>
      </c>
      <c r="L126" s="48">
        <f t="shared" si="99"/>
        <v>4.9751024409622879E-3</v>
      </c>
      <c r="M126" s="48">
        <f t="shared" si="99"/>
        <v>5.0746044897815338E-3</v>
      </c>
      <c r="N126" s="48">
        <f t="shared" si="99"/>
        <v>5.1760965795771647E-3</v>
      </c>
      <c r="O126" s="48">
        <f t="shared" si="99"/>
        <v>5.2796185111687079E-3</v>
      </c>
      <c r="P126" s="48">
        <f t="shared" si="99"/>
        <v>5.3852108813920822E-3</v>
      </c>
    </row>
    <row r="127" spans="1:25" x14ac:dyDescent="0.25">
      <c r="A127" s="1" t="s">
        <v>8</v>
      </c>
      <c r="B127" s="20">
        <f>B12/$B$3</f>
        <v>4.2862940736552176E-2</v>
      </c>
      <c r="C127" s="20">
        <f>C12/$B$3</f>
        <v>4.6659574578969722E-2</v>
      </c>
      <c r="D127" s="20">
        <f t="shared" si="92"/>
        <v>4.7844864828612117E-2</v>
      </c>
      <c r="E127" s="20">
        <f t="shared" si="93"/>
        <v>5.0931010416448957E-2</v>
      </c>
      <c r="F127" s="20">
        <f t="shared" si="94"/>
        <v>6.3867882226751271E-2</v>
      </c>
      <c r="G127" s="20">
        <f t="shared" si="95"/>
        <v>6.3019090615742859E-2</v>
      </c>
      <c r="H127" s="20">
        <f t="shared" si="96"/>
        <v>6.6179138170800469E-2</v>
      </c>
      <c r="I127" s="20">
        <f t="shared" si="97"/>
        <v>6.4777041707525213E-2</v>
      </c>
      <c r="J127" s="20">
        <f t="shared" si="98"/>
        <v>6.4138134308992054E-2</v>
      </c>
      <c r="K127" s="48">
        <f t="shared" si="99"/>
        <v>6.5420896995171895E-2</v>
      </c>
      <c r="L127" s="48">
        <f t="shared" si="99"/>
        <v>6.6729314935075335E-2</v>
      </c>
      <c r="M127" s="48">
        <f t="shared" si="99"/>
        <v>6.8063901233776841E-2</v>
      </c>
      <c r="N127" s="48">
        <f t="shared" si="99"/>
        <v>6.9425179258452374E-2</v>
      </c>
      <c r="O127" s="48">
        <f t="shared" si="99"/>
        <v>7.0813682843621426E-2</v>
      </c>
      <c r="P127" s="48">
        <f t="shared" si="99"/>
        <v>7.2229956500493853E-2</v>
      </c>
    </row>
    <row r="128" spans="1:25" x14ac:dyDescent="0.25">
      <c r="A128" s="1" t="s">
        <v>9</v>
      </c>
      <c r="B128" s="20">
        <f>B13/$B$3</f>
        <v>0.10950695875818543</v>
      </c>
      <c r="C128" s="20">
        <f>C13/$B$3</f>
        <v>0.1135436508660338</v>
      </c>
      <c r="D128" s="20">
        <f t="shared" si="92"/>
        <v>0.11068537630653388</v>
      </c>
      <c r="E128" s="20">
        <f t="shared" si="93"/>
        <v>0.10810270623977287</v>
      </c>
      <c r="F128" s="20">
        <f t="shared" si="94"/>
        <v>0.11579309122700061</v>
      </c>
      <c r="G128" s="20">
        <f t="shared" si="95"/>
        <v>0.10223297185746785</v>
      </c>
      <c r="H128" s="20">
        <f t="shared" si="96"/>
        <v>0.1064961513697677</v>
      </c>
      <c r="I128" s="20">
        <f t="shared" si="97"/>
        <v>0.11156330376726967</v>
      </c>
      <c r="J128" s="20">
        <f t="shared" si="98"/>
        <v>0.11658833417165655</v>
      </c>
      <c r="K128" s="48">
        <f t="shared" si="99"/>
        <v>0.11892010085508968</v>
      </c>
      <c r="L128" s="48">
        <f t="shared" si="99"/>
        <v>0.12129850287219147</v>
      </c>
      <c r="M128" s="48">
        <f t="shared" si="99"/>
        <v>0.1237244729296353</v>
      </c>
      <c r="N128" s="48">
        <f t="shared" si="99"/>
        <v>0.126198962388228</v>
      </c>
      <c r="O128" s="48">
        <f t="shared" si="99"/>
        <v>0.12872294163599257</v>
      </c>
      <c r="P128" s="48">
        <f t="shared" si="99"/>
        <v>0.13129740046871241</v>
      </c>
    </row>
    <row r="129" spans="1:16" x14ac:dyDescent="0.25">
      <c r="A129" s="1" t="s">
        <v>77</v>
      </c>
      <c r="B129" s="20">
        <f>B14/$B$3</f>
        <v>7.3554243396280486E-2</v>
      </c>
      <c r="C129" s="20">
        <f>C14/$B$3</f>
        <v>7.7233291032700047E-2</v>
      </c>
      <c r="D129" s="20">
        <f t="shared" si="92"/>
        <v>1.9412439646729066E-2</v>
      </c>
      <c r="E129" s="20">
        <f t="shared" si="93"/>
        <v>4.1504487635930869E-5</v>
      </c>
      <c r="F129" s="20">
        <f t="shared" si="94"/>
        <v>4.6816333282355551E-5</v>
      </c>
      <c r="G129" s="20">
        <f t="shared" si="95"/>
        <v>9.3994707225867355E-5</v>
      </c>
      <c r="H129" s="20">
        <f t="shared" si="96"/>
        <v>4.4998421977831095E-4</v>
      </c>
      <c r="I129" s="20">
        <f t="shared" si="97"/>
        <v>2.7894745404984079E-4</v>
      </c>
      <c r="J129" s="20">
        <f t="shared" si="98"/>
        <v>8.5167232134370922E-5</v>
      </c>
      <c r="K129" s="48">
        <f t="shared" si="99"/>
        <v>8.6870576777058338E-5</v>
      </c>
      <c r="L129" s="48">
        <f t="shared" si="99"/>
        <v>8.8607988312599511E-5</v>
      </c>
      <c r="M129" s="48">
        <f t="shared" si="99"/>
        <v>9.0380148078851507E-5</v>
      </c>
      <c r="N129" s="48">
        <f t="shared" si="99"/>
        <v>9.2187751040428542E-5</v>
      </c>
      <c r="O129" s="48">
        <f t="shared" si="99"/>
        <v>9.4031506061237113E-5</v>
      </c>
      <c r="P129" s="48">
        <f t="shared" si="99"/>
        <v>9.5912136182461859E-5</v>
      </c>
    </row>
    <row r="130" spans="1:16" x14ac:dyDescent="0.25">
      <c r="A130" s="5"/>
      <c r="J130" s="6"/>
    </row>
    <row r="131" spans="1:16" x14ac:dyDescent="0.25">
      <c r="A131" s="5"/>
      <c r="J131" s="6"/>
    </row>
    <row r="132" spans="1:16" x14ac:dyDescent="0.25">
      <c r="A132" s="11" t="s">
        <v>78</v>
      </c>
      <c r="J132" s="6"/>
    </row>
    <row r="133" spans="1:16" x14ac:dyDescent="0.25">
      <c r="A133" s="1" t="s">
        <v>5</v>
      </c>
      <c r="B133" s="27">
        <f>B9/$B$119</f>
        <v>4.1744436821732798</v>
      </c>
      <c r="C133" s="27">
        <f>C9/$C$119</f>
        <v>4.5347503484160407</v>
      </c>
      <c r="D133" s="27">
        <f>D9/$D$119</f>
        <v>5.0197163814683208</v>
      </c>
      <c r="E133" s="27">
        <f>E9/$E$119</f>
        <v>5.4253785114341913</v>
      </c>
      <c r="F133" s="27">
        <f>F9/$F$119</f>
        <v>4.4793070545632228</v>
      </c>
      <c r="G133" s="27">
        <f>G9/$G$119</f>
        <v>3.7451897179906841</v>
      </c>
      <c r="H133" s="27">
        <f>H9/$H$119</f>
        <v>3.6740659363368073</v>
      </c>
      <c r="I133" s="27">
        <f>I9/$I$119</f>
        <v>4.0114771239127194</v>
      </c>
      <c r="J133" s="27">
        <f>J9/$J$119</f>
        <v>3.7934674409206393</v>
      </c>
      <c r="K133" s="49">
        <f>J133+(J133*2%)</f>
        <v>3.869336789739052</v>
      </c>
      <c r="L133" s="49">
        <f t="shared" ref="L133:P133" si="100">K133+(K133*2%)</f>
        <v>3.9467235255338329</v>
      </c>
      <c r="M133" s="49">
        <f t="shared" si="100"/>
        <v>4.0256579960445098</v>
      </c>
      <c r="N133" s="49">
        <f t="shared" si="100"/>
        <v>4.1061711559654004</v>
      </c>
      <c r="O133" s="49">
        <f t="shared" si="100"/>
        <v>4.1882945790847081</v>
      </c>
      <c r="P133" s="49">
        <f t="shared" si="100"/>
        <v>4.2720604706664025</v>
      </c>
    </row>
    <row r="134" spans="1:16" x14ac:dyDescent="0.25">
      <c r="A134" s="1" t="s">
        <v>6</v>
      </c>
      <c r="B134" s="27">
        <f t="shared" ref="B134:B138" si="101">B10/$B$119</f>
        <v>0</v>
      </c>
      <c r="C134" s="27">
        <f t="shared" ref="C134:C138" si="102">C10/$C$119</f>
        <v>0</v>
      </c>
      <c r="D134" s="27">
        <f t="shared" ref="D134:D138" si="103">D10/$D$119</f>
        <v>0</v>
      </c>
      <c r="E134" s="27">
        <f t="shared" ref="E134:E138" si="104">E10/$E$119</f>
        <v>0</v>
      </c>
      <c r="F134" s="27">
        <f t="shared" ref="F134:F137" si="105">F10/$F$119</f>
        <v>0</v>
      </c>
      <c r="G134" s="27">
        <f t="shared" ref="G134:G138" si="106">G10/$G$119</f>
        <v>5.3088581329162679E-3</v>
      </c>
      <c r="H134" s="27">
        <f t="shared" ref="H134:H138" si="107">H10/$H$119</f>
        <v>8.1525381059015297E-3</v>
      </c>
      <c r="I134" s="27">
        <f t="shared" ref="I134:I138" si="108">I10/$I$119</f>
        <v>7.9211698044557646E-3</v>
      </c>
      <c r="J134" s="27">
        <f t="shared" ref="J134:J138" si="109">J10/$J$119</f>
        <v>7.4161699863198469E-2</v>
      </c>
      <c r="K134" s="49">
        <f t="shared" ref="K134:P134" si="110">J134+(J134*10%)</f>
        <v>8.1577869849518314E-2</v>
      </c>
      <c r="L134" s="49">
        <f t="shared" si="110"/>
        <v>8.9735656834470143E-2</v>
      </c>
      <c r="M134" s="49">
        <f t="shared" si="110"/>
        <v>9.8709222517917153E-2</v>
      </c>
      <c r="N134" s="49">
        <f t="shared" si="110"/>
        <v>0.10858014476970887</v>
      </c>
      <c r="O134" s="49">
        <f t="shared" si="110"/>
        <v>0.11943815924667976</v>
      </c>
      <c r="P134" s="49">
        <f t="shared" si="110"/>
        <v>0.13138197517134775</v>
      </c>
    </row>
    <row r="135" spans="1:16" x14ac:dyDescent="0.25">
      <c r="A135" s="1" t="s">
        <v>7</v>
      </c>
      <c r="B135" s="27">
        <f>B11/$B$119</f>
        <v>-2.5666654389059859E-3</v>
      </c>
      <c r="C135" s="27">
        <f t="shared" si="102"/>
        <v>2.3096491062946506E-2</v>
      </c>
      <c r="D135" s="27">
        <f t="shared" si="103"/>
        <v>-2.5130599916497843E-2</v>
      </c>
      <c r="E135" s="27">
        <f t="shared" si="104"/>
        <v>-6.5952018604607341E-3</v>
      </c>
      <c r="F135" s="27">
        <f t="shared" si="105"/>
        <v>-3.8279029481458823E-2</v>
      </c>
      <c r="G135" s="27">
        <f t="shared" si="106"/>
        <v>-4.3570484040764627E-2</v>
      </c>
      <c r="H135" s="27">
        <f t="shared" si="107"/>
        <v>1.2900349198696414E-2</v>
      </c>
      <c r="I135" s="27">
        <f t="shared" si="108"/>
        <v>-3.4911265779536856E-2</v>
      </c>
      <c r="J135" s="27">
        <f t="shared" si="109"/>
        <v>2.7433089761456999E-2</v>
      </c>
      <c r="K135" s="49">
        <f t="shared" ref="K135:P135" si="111">J135+(J135*10%)</f>
        <v>3.0176398737602698E-2</v>
      </c>
      <c r="L135" s="49">
        <f t="shared" si="111"/>
        <v>3.3194038611362969E-2</v>
      </c>
      <c r="M135" s="49">
        <f t="shared" si="111"/>
        <v>3.6513442472499269E-2</v>
      </c>
      <c r="N135" s="49">
        <f t="shared" si="111"/>
        <v>4.0164786719749199E-2</v>
      </c>
      <c r="O135" s="49">
        <f t="shared" si="111"/>
        <v>4.4181265391724116E-2</v>
      </c>
      <c r="P135" s="49">
        <f t="shared" si="111"/>
        <v>4.8599391930896525E-2</v>
      </c>
    </row>
    <row r="136" spans="1:16" x14ac:dyDescent="0.25">
      <c r="A136" s="1" t="s">
        <v>8</v>
      </c>
      <c r="B136" s="27">
        <f t="shared" si="101"/>
        <v>0.28430572820029915</v>
      </c>
      <c r="C136" s="27">
        <f t="shared" si="102"/>
        <v>0.34200426382840854</v>
      </c>
      <c r="D136" s="27">
        <f t="shared" si="103"/>
        <v>0.36142010891533599</v>
      </c>
      <c r="E136" s="27">
        <f t="shared" si="104"/>
        <v>0.40208886776052083</v>
      </c>
      <c r="F136" s="27">
        <f t="shared" si="105"/>
        <v>0.41523435384616986</v>
      </c>
      <c r="G136" s="27">
        <f t="shared" si="106"/>
        <v>0.33261683989988111</v>
      </c>
      <c r="H136" s="27">
        <f t="shared" si="107"/>
        <v>0.34338951799099143</v>
      </c>
      <c r="I136" s="27">
        <f t="shared" si="108"/>
        <v>0.36571822207234589</v>
      </c>
      <c r="J136" s="27">
        <f t="shared" si="109"/>
        <v>0.36795047098173528</v>
      </c>
      <c r="K136" s="49">
        <f t="shared" ref="K136:P136" si="112">J136+(J136*10%)</f>
        <v>0.40474551807990883</v>
      </c>
      <c r="L136" s="49">
        <f t="shared" si="112"/>
        <v>0.44522006988789969</v>
      </c>
      <c r="M136" s="49">
        <f t="shared" si="112"/>
        <v>0.48974207687668969</v>
      </c>
      <c r="N136" s="49">
        <f t="shared" si="112"/>
        <v>0.53871628456435872</v>
      </c>
      <c r="O136" s="49">
        <f t="shared" si="112"/>
        <v>0.59258791302079461</v>
      </c>
      <c r="P136" s="49">
        <f t="shared" si="112"/>
        <v>0.65184670432287406</v>
      </c>
    </row>
    <row r="137" spans="1:16" x14ac:dyDescent="0.25">
      <c r="A137" s="1" t="s">
        <v>9</v>
      </c>
      <c r="B137" s="27">
        <f t="shared" si="101"/>
        <v>0.72634903526804451</v>
      </c>
      <c r="C137" s="27">
        <f t="shared" si="102"/>
        <v>0.83224960958667149</v>
      </c>
      <c r="D137" s="27">
        <f t="shared" si="103"/>
        <v>0.83611733261955712</v>
      </c>
      <c r="E137" s="27">
        <f t="shared" si="104"/>
        <v>0.85344654265410291</v>
      </c>
      <c r="F137" s="27">
        <f t="shared" si="105"/>
        <v>0.75282391930251291</v>
      </c>
      <c r="G137" s="27">
        <f t="shared" si="106"/>
        <v>0.5395889991517866</v>
      </c>
      <c r="H137" s="27">
        <f t="shared" si="107"/>
        <v>0.55258595227363427</v>
      </c>
      <c r="I137" s="27">
        <f t="shared" si="108"/>
        <v>0.62986410040925112</v>
      </c>
      <c r="J137" s="27">
        <f t="shared" si="109"/>
        <v>0.66884908536266285</v>
      </c>
      <c r="K137" s="49">
        <f t="shared" ref="K137:P137" si="113">J137+(J137*10%)</f>
        <v>0.73573399389892913</v>
      </c>
      <c r="L137" s="49">
        <f t="shared" si="113"/>
        <v>0.80930739328882206</v>
      </c>
      <c r="M137" s="49">
        <f t="shared" si="113"/>
        <v>0.89023813261770424</v>
      </c>
      <c r="N137" s="49">
        <f t="shared" si="113"/>
        <v>0.97926194587947468</v>
      </c>
      <c r="O137" s="49">
        <f t="shared" si="113"/>
        <v>1.0771881404674222</v>
      </c>
      <c r="P137" s="49">
        <f t="shared" si="113"/>
        <v>1.1849069545141644</v>
      </c>
    </row>
    <row r="138" spans="1:16" x14ac:dyDescent="0.25">
      <c r="A138" s="1" t="s">
        <v>79</v>
      </c>
      <c r="B138" s="36">
        <f t="shared" si="101"/>
        <v>0.48787816168591908</v>
      </c>
      <c r="C138" s="36">
        <f t="shared" si="102"/>
        <v>0.56610277914083473</v>
      </c>
      <c r="D138" s="36">
        <f t="shared" si="103"/>
        <v>0.14664156909139139</v>
      </c>
      <c r="E138" s="36">
        <f t="shared" si="104"/>
        <v>3.2766859137595616E-4</v>
      </c>
      <c r="F138" s="36">
        <f>F14/$F$119</f>
        <v>3.0437442454923675E-4</v>
      </c>
      <c r="G138" s="36">
        <f t="shared" si="106"/>
        <v>4.9610716656346633E-4</v>
      </c>
      <c r="H138" s="36">
        <f t="shared" si="107"/>
        <v>2.3348727197750629E-3</v>
      </c>
      <c r="I138" s="36">
        <f t="shared" si="108"/>
        <v>1.5748815360745912E-3</v>
      </c>
      <c r="J138" s="36">
        <f t="shared" si="109"/>
        <v>4.8859112466667306E-4</v>
      </c>
      <c r="K138" s="50">
        <f t="shared" ref="K138:P138" si="114">J138+(J138*10%)</f>
        <v>5.3745023713334039E-4</v>
      </c>
      <c r="L138" s="50">
        <f t="shared" si="114"/>
        <v>5.9119526084667443E-4</v>
      </c>
      <c r="M138" s="50">
        <f t="shared" si="114"/>
        <v>6.5031478693134185E-4</v>
      </c>
      <c r="N138" s="50">
        <f t="shared" si="114"/>
        <v>7.1534626562447603E-4</v>
      </c>
      <c r="O138" s="50">
        <f t="shared" si="114"/>
        <v>7.8688089218692363E-4</v>
      </c>
      <c r="P138" s="50">
        <f t="shared" si="114"/>
        <v>8.65568981405616E-4</v>
      </c>
    </row>
    <row r="139" spans="1:16" x14ac:dyDescent="0.25">
      <c r="E139" s="27"/>
      <c r="F139" s="27"/>
      <c r="G139" s="27"/>
      <c r="H139" s="27"/>
      <c r="I139" s="27"/>
      <c r="J139" s="27"/>
    </row>
    <row r="140" spans="1:16" x14ac:dyDescent="0.25">
      <c r="A140" s="5"/>
      <c r="J140" s="6"/>
    </row>
    <row r="141" spans="1:16" x14ac:dyDescent="0.25">
      <c r="A141" s="11" t="s">
        <v>75</v>
      </c>
      <c r="J141" s="6"/>
    </row>
    <row r="142" spans="1:16" x14ac:dyDescent="0.25">
      <c r="A142" s="1" t="s">
        <v>5</v>
      </c>
      <c r="C142" s="38">
        <f>C133/B133-1</f>
        <v>8.6312499023865064E-2</v>
      </c>
      <c r="D142" s="38">
        <f t="shared" ref="D142:J142" si="115">D133/C133-1</f>
        <v>0.10694437307263804</v>
      </c>
      <c r="E142" s="38">
        <f t="shared" si="115"/>
        <v>8.0813755028767087E-2</v>
      </c>
      <c r="F142" s="38">
        <f t="shared" si="115"/>
        <v>-0.1743788852477457</v>
      </c>
      <c r="G142" s="38">
        <f t="shared" si="115"/>
        <v>-0.16389082677970657</v>
      </c>
      <c r="H142" s="38">
        <f t="shared" si="115"/>
        <v>-1.8990701942873778E-2</v>
      </c>
      <c r="I142" s="38">
        <f t="shared" si="115"/>
        <v>9.1835909703984475E-2</v>
      </c>
      <c r="J142" s="38">
        <f t="shared" si="115"/>
        <v>-5.4346485411198797E-2</v>
      </c>
      <c r="K142" s="51">
        <f>J142+(J142*2%)</f>
        <v>-5.543341511942277E-2</v>
      </c>
      <c r="L142" s="51">
        <f t="shared" ref="L142:P142" si="116">K142+(K142*2%)</f>
        <v>-5.6542083421811225E-2</v>
      </c>
      <c r="M142" s="51">
        <f t="shared" si="116"/>
        <v>-5.7672925090247448E-2</v>
      </c>
      <c r="N142" s="51">
        <f t="shared" si="116"/>
        <v>-5.8826383592052396E-2</v>
      </c>
      <c r="O142" s="51">
        <f t="shared" si="116"/>
        <v>-6.0002911263893441E-2</v>
      </c>
      <c r="P142" s="51">
        <f t="shared" si="116"/>
        <v>-6.1202969489171311E-2</v>
      </c>
    </row>
    <row r="143" spans="1:16" x14ac:dyDescent="0.25">
      <c r="A143" s="1" t="s">
        <v>6</v>
      </c>
      <c r="C143" s="38">
        <v>0</v>
      </c>
      <c r="D143" s="38">
        <v>0</v>
      </c>
      <c r="E143" s="38">
        <v>0</v>
      </c>
      <c r="F143" s="38">
        <v>0</v>
      </c>
      <c r="G143" s="38">
        <v>0</v>
      </c>
      <c r="H143" s="38">
        <f t="shared" ref="C143:J147" si="117">H134/G134-1</f>
        <v>0.53564813784601339</v>
      </c>
      <c r="I143" s="38">
        <f t="shared" si="117"/>
        <v>-2.8379910457367874E-2</v>
      </c>
      <c r="J143" s="38">
        <f t="shared" si="117"/>
        <v>8.3624681321036078</v>
      </c>
      <c r="K143" s="51">
        <f t="shared" ref="K143:P143" si="118">J143+(J143*10%)</f>
        <v>9.1987149453139683</v>
      </c>
      <c r="L143" s="51">
        <f t="shared" si="118"/>
        <v>10.118586439845366</v>
      </c>
      <c r="M143" s="51">
        <f t="shared" si="118"/>
        <v>11.130445083829903</v>
      </c>
      <c r="N143" s="51">
        <f t="shared" si="118"/>
        <v>12.243489592212892</v>
      </c>
      <c r="O143" s="51">
        <f t="shared" si="118"/>
        <v>13.467838551434182</v>
      </c>
      <c r="P143" s="51">
        <f t="shared" si="118"/>
        <v>14.8146224065776</v>
      </c>
    </row>
    <row r="144" spans="1:16" x14ac:dyDescent="0.25">
      <c r="A144" s="1" t="s">
        <v>7</v>
      </c>
      <c r="C144" s="38">
        <f>C135/B135-1</f>
        <v>-9.9986371861504253</v>
      </c>
      <c r="D144" s="38">
        <f t="shared" ref="D144:J144" si="119">D135/C135-1</f>
        <v>-2.0880700383451165</v>
      </c>
      <c r="E144" s="38">
        <f t="shared" si="119"/>
        <v>-0.73756289613559578</v>
      </c>
      <c r="F144" s="38">
        <f t="shared" si="119"/>
        <v>4.8040724592445896</v>
      </c>
      <c r="G144" s="38">
        <f t="shared" si="119"/>
        <v>0.13823377005597326</v>
      </c>
      <c r="H144" s="38">
        <f t="shared" si="119"/>
        <v>-1.2960800065160356</v>
      </c>
      <c r="I144" s="38">
        <f t="shared" si="119"/>
        <v>-3.7062264161860559</v>
      </c>
      <c r="J144" s="38">
        <f t="shared" si="119"/>
        <v>-1.7857947613442544</v>
      </c>
      <c r="K144" s="51">
        <f t="shared" ref="K144:P144" si="120">J144+(J144*10%)</f>
        <v>-1.9643742374786799</v>
      </c>
      <c r="L144" s="51">
        <f t="shared" si="120"/>
        <v>-2.160811661226548</v>
      </c>
      <c r="M144" s="51">
        <f t="shared" si="120"/>
        <v>-2.3768928273492027</v>
      </c>
      <c r="N144" s="51">
        <f t="shared" si="120"/>
        <v>-2.6145821100841231</v>
      </c>
      <c r="O144" s="51">
        <f t="shared" si="120"/>
        <v>-2.8760403210925354</v>
      </c>
      <c r="P144" s="51">
        <f t="shared" si="120"/>
        <v>-3.1636443532017888</v>
      </c>
    </row>
    <row r="145" spans="1:16" x14ac:dyDescent="0.25">
      <c r="A145" s="1" t="s">
        <v>8</v>
      </c>
      <c r="C145" s="38">
        <f t="shared" si="117"/>
        <v>0.20294538556556829</v>
      </c>
      <c r="D145" s="38">
        <f t="shared" si="117"/>
        <v>5.6770769082191475E-2</v>
      </c>
      <c r="E145" s="38">
        <f t="shared" si="117"/>
        <v>0.11252489233993246</v>
      </c>
      <c r="F145" s="38">
        <f t="shared" si="117"/>
        <v>3.2692986898305021E-2</v>
      </c>
      <c r="G145" s="38">
        <f t="shared" si="117"/>
        <v>-0.19896598916017361</v>
      </c>
      <c r="H145" s="38">
        <f t="shared" si="117"/>
        <v>3.2387650890895792E-2</v>
      </c>
      <c r="I145" s="38">
        <f t="shared" si="117"/>
        <v>6.5024419533796785E-2</v>
      </c>
      <c r="J145" s="38">
        <f t="shared" si="117"/>
        <v>6.1037399141348203E-3</v>
      </c>
      <c r="K145" s="51">
        <f t="shared" ref="K145:P145" si="121">J145+(J145*10%)</f>
        <v>6.714113905548302E-3</v>
      </c>
      <c r="L145" s="51">
        <f t="shared" si="121"/>
        <v>7.385525296103132E-3</v>
      </c>
      <c r="M145" s="51">
        <f t="shared" si="121"/>
        <v>8.1240778257134459E-3</v>
      </c>
      <c r="N145" s="51">
        <f t="shared" si="121"/>
        <v>8.9364856082847898E-3</v>
      </c>
      <c r="O145" s="51">
        <f t="shared" si="121"/>
        <v>9.8301341691132693E-3</v>
      </c>
      <c r="P145" s="51">
        <f t="shared" si="121"/>
        <v>1.0813147586024596E-2</v>
      </c>
    </row>
    <row r="146" spans="1:16" x14ac:dyDescent="0.25">
      <c r="A146" s="1" t="s">
        <v>9</v>
      </c>
      <c r="C146" s="38">
        <f t="shared" si="117"/>
        <v>0.14579846489304771</v>
      </c>
      <c r="D146" s="38">
        <f t="shared" si="117"/>
        <v>4.647311321427372E-3</v>
      </c>
      <c r="E146" s="38">
        <f t="shared" si="117"/>
        <v>2.0725811268920147E-2</v>
      </c>
      <c r="F146" s="38">
        <f t="shared" si="117"/>
        <v>-0.11790149508212577</v>
      </c>
      <c r="G146" s="38">
        <f t="shared" si="117"/>
        <v>-0.28324673895628505</v>
      </c>
      <c r="H146" s="38">
        <f t="shared" si="117"/>
        <v>2.408676444901281E-2</v>
      </c>
      <c r="I146" s="38">
        <f t="shared" si="117"/>
        <v>0.13984819523126357</v>
      </c>
      <c r="J146" s="38">
        <f t="shared" si="117"/>
        <v>6.1894279937658725E-2</v>
      </c>
      <c r="K146" s="51">
        <f t="shared" ref="K146:P146" si="122">J146+(J146*10%)</f>
        <v>6.8083707931424597E-2</v>
      </c>
      <c r="L146" s="51">
        <f t="shared" si="122"/>
        <v>7.489207872456706E-2</v>
      </c>
      <c r="M146" s="51">
        <f t="shared" si="122"/>
        <v>8.2381286597023762E-2</v>
      </c>
      <c r="N146" s="51">
        <f t="shared" si="122"/>
        <v>9.0619415256726135E-2</v>
      </c>
      <c r="O146" s="51">
        <f t="shared" si="122"/>
        <v>9.9681356782398756E-2</v>
      </c>
      <c r="P146" s="51">
        <f t="shared" si="122"/>
        <v>0.10964949246063863</v>
      </c>
    </row>
    <row r="147" spans="1:16" x14ac:dyDescent="0.25">
      <c r="A147" s="1" t="s">
        <v>79</v>
      </c>
      <c r="C147" s="38">
        <f t="shared" si="117"/>
        <v>0.16033637821500668</v>
      </c>
      <c r="D147" s="38">
        <f t="shared" si="117"/>
        <v>-0.7409629938331217</v>
      </c>
      <c r="E147" s="38">
        <f t="shared" si="117"/>
        <v>-0.99776551360295562</v>
      </c>
      <c r="F147" s="38">
        <f t="shared" si="117"/>
        <v>-7.1090630715937131E-2</v>
      </c>
      <c r="G147" s="38">
        <f t="shared" si="117"/>
        <v>0.62992395730415307</v>
      </c>
      <c r="H147" s="38">
        <f t="shared" si="117"/>
        <v>3.7063878071923915</v>
      </c>
      <c r="I147" s="38">
        <f t="shared" si="117"/>
        <v>-0.32549576568511529</v>
      </c>
      <c r="J147" s="38">
        <f t="shared" si="117"/>
        <v>-0.68976007815515339</v>
      </c>
      <c r="K147" s="51">
        <f t="shared" ref="K147:P147" si="123">J147+(J147*10%)</f>
        <v>-0.75873608597066877</v>
      </c>
      <c r="L147" s="51">
        <f t="shared" si="123"/>
        <v>-0.8346096945677357</v>
      </c>
      <c r="M147" s="51">
        <f t="shared" si="123"/>
        <v>-0.91807066402450932</v>
      </c>
      <c r="N147" s="51">
        <f t="shared" si="123"/>
        <v>-1.0098777304269602</v>
      </c>
      <c r="O147" s="51">
        <f t="shared" si="123"/>
        <v>-1.1108655034696562</v>
      </c>
      <c r="P147" s="51">
        <f t="shared" si="123"/>
        <v>-1.2219520538166218</v>
      </c>
    </row>
    <row r="148" spans="1:16" x14ac:dyDescent="0.25">
      <c r="A148" s="5"/>
      <c r="J148" s="6"/>
    </row>
    <row r="149" spans="1:16" x14ac:dyDescent="0.25">
      <c r="A149" s="5"/>
      <c r="J149" s="6"/>
    </row>
    <row r="150" spans="1:16" x14ac:dyDescent="0.25">
      <c r="A150" s="5"/>
      <c r="J150" s="6"/>
    </row>
    <row r="151" spans="1:16" x14ac:dyDescent="0.25">
      <c r="A151" s="11" t="s">
        <v>80</v>
      </c>
      <c r="J151" s="6"/>
    </row>
    <row r="152" spans="1:16" x14ac:dyDescent="0.25">
      <c r="A152" s="5"/>
      <c r="J152" s="6"/>
    </row>
    <row r="153" spans="1:16" s="34" customFormat="1" x14ac:dyDescent="0.25">
      <c r="A153" s="19" t="s">
        <v>51</v>
      </c>
      <c r="B153" s="39">
        <f>SUM(B154:B159)</f>
        <v>6019.8600000000006</v>
      </c>
      <c r="C153" s="39">
        <f t="shared" ref="C153:J153" si="124">SUM(C154:C159)</f>
        <v>7316.45</v>
      </c>
      <c r="D153" s="39">
        <f t="shared" si="124"/>
        <v>8706.84</v>
      </c>
      <c r="E153" s="39">
        <f t="shared" si="124"/>
        <v>7979.11</v>
      </c>
      <c r="F153" s="39">
        <f t="shared" si="124"/>
        <v>8046.6999999999989</v>
      </c>
      <c r="G153" s="39">
        <f t="shared" si="124"/>
        <v>10695.64</v>
      </c>
      <c r="H153" s="39">
        <f t="shared" si="124"/>
        <v>9942.84</v>
      </c>
      <c r="I153" s="39">
        <f t="shared" si="124"/>
        <v>8691.2900000000009</v>
      </c>
      <c r="J153" s="39">
        <f t="shared" si="124"/>
        <v>9187.09</v>
      </c>
      <c r="K153" s="39">
        <f t="shared" ref="K153" si="125">SUM(K154:K159)</f>
        <v>15532.063082761186</v>
      </c>
      <c r="L153" s="39">
        <f t="shared" ref="L153" si="126">SUM(L154:L159)</f>
        <v>18705.610579588407</v>
      </c>
      <c r="M153" s="39">
        <f t="shared" ref="M153" si="127">SUM(M154:M159)</f>
        <v>22529.906396894385</v>
      </c>
      <c r="N153" s="39">
        <f t="shared" ref="N153" si="128">SUM(N154:N159)</f>
        <v>27138.808189316773</v>
      </c>
      <c r="O153" s="39">
        <f t="shared" ref="O153" si="129">SUM(O154:O159)</f>
        <v>32693.783277878345</v>
      </c>
      <c r="P153" s="39">
        <f t="shared" ref="P153" si="130">SUM(P154:P159)</f>
        <v>39389.616982008636</v>
      </c>
    </row>
    <row r="154" spans="1:16" x14ac:dyDescent="0.25">
      <c r="A154" s="13" t="s">
        <v>52</v>
      </c>
      <c r="B154" s="23">
        <f>B82</f>
        <v>672.98</v>
      </c>
      <c r="C154" s="23">
        <f t="shared" ref="C154:J154" si="131">C82</f>
        <v>656.31</v>
      </c>
      <c r="D154" s="23">
        <f t="shared" si="131"/>
        <v>823.58</v>
      </c>
      <c r="E154" s="23">
        <f t="shared" si="131"/>
        <v>1072.3</v>
      </c>
      <c r="F154" s="23">
        <f t="shared" si="131"/>
        <v>1091.97</v>
      </c>
      <c r="G154" s="23">
        <f t="shared" si="131"/>
        <v>1469.55</v>
      </c>
      <c r="H154" s="23">
        <f t="shared" si="131"/>
        <v>1122.6500000000001</v>
      </c>
      <c r="I154" s="23">
        <f t="shared" si="131"/>
        <v>1434.09</v>
      </c>
      <c r="J154" s="23">
        <f t="shared" si="131"/>
        <v>1443.76</v>
      </c>
      <c r="K154" s="23">
        <f>$K$169*K173</f>
        <v>2529.6519678764143</v>
      </c>
      <c r="L154" s="23">
        <f>$L$169*L173</f>
        <v>3046.5163810404579</v>
      </c>
      <c r="M154" s="27">
        <f>$M$169*M173</f>
        <v>3669.3658626863821</v>
      </c>
      <c r="N154" s="27">
        <f>$N$169*N173</f>
        <v>4420.0013337649461</v>
      </c>
      <c r="O154" s="27">
        <f>$O$169*O173</f>
        <v>5324.7204035632494</v>
      </c>
      <c r="P154" s="27">
        <f>$P$169*P173</f>
        <v>6415.2470654737199</v>
      </c>
    </row>
    <row r="155" spans="1:16" x14ac:dyDescent="0.25">
      <c r="A155" s="13" t="s">
        <v>53</v>
      </c>
      <c r="B155" s="23">
        <f>B83</f>
        <v>1282.8</v>
      </c>
      <c r="C155" s="23">
        <f t="shared" ref="C155:J155" si="132">C83</f>
        <v>1561.87</v>
      </c>
      <c r="D155" s="23">
        <f t="shared" si="132"/>
        <v>1520.18</v>
      </c>
      <c r="E155" s="23">
        <f t="shared" si="132"/>
        <v>2821.57</v>
      </c>
      <c r="F155" s="23">
        <f t="shared" si="132"/>
        <v>1603.14</v>
      </c>
      <c r="G155" s="23">
        <f t="shared" si="132"/>
        <v>2426.7600000000002</v>
      </c>
      <c r="H155" s="23">
        <f t="shared" si="132"/>
        <v>2304.27</v>
      </c>
      <c r="I155" s="23">
        <f t="shared" si="132"/>
        <v>2798.21</v>
      </c>
      <c r="J155" s="23">
        <f t="shared" si="132"/>
        <v>2703.44</v>
      </c>
      <c r="K155" s="23">
        <f t="shared" ref="K155:K159" si="133">$K$169*K174</f>
        <v>3794.4779518146215</v>
      </c>
      <c r="L155" s="23">
        <f t="shared" ref="L155:L159" si="134">$L$169*L174</f>
        <v>4569.7745715606861</v>
      </c>
      <c r="M155" s="27">
        <f t="shared" ref="M155:M159" si="135">$M$169*M174</f>
        <v>5504.0487940295725</v>
      </c>
      <c r="N155" s="27">
        <f t="shared" ref="N155:N159" si="136">$N$169*N174</f>
        <v>6630.0020006474197</v>
      </c>
      <c r="O155" s="27">
        <f>$O$169*O174</f>
        <v>7987.0806053448723</v>
      </c>
      <c r="P155" s="27">
        <f t="shared" ref="P155:P159" si="137">$P$169*P174</f>
        <v>9622.8705982105785</v>
      </c>
    </row>
    <row r="156" spans="1:16" x14ac:dyDescent="0.25">
      <c r="A156" s="13" t="s">
        <v>55</v>
      </c>
      <c r="B156" s="23">
        <f>B85</f>
        <v>23.12</v>
      </c>
      <c r="C156" s="23">
        <f t="shared" ref="C156:J156" si="138">C85</f>
        <v>24.18</v>
      </c>
      <c r="D156" s="23">
        <f t="shared" si="138"/>
        <v>27.56</v>
      </c>
      <c r="E156" s="23">
        <f t="shared" si="138"/>
        <v>25.03</v>
      </c>
      <c r="F156" s="23">
        <f t="shared" si="138"/>
        <v>22.36</v>
      </c>
      <c r="G156" s="23">
        <f t="shared" si="138"/>
        <v>22.95</v>
      </c>
      <c r="H156" s="23">
        <f t="shared" si="138"/>
        <v>22.81</v>
      </c>
      <c r="I156" s="23">
        <f t="shared" si="138"/>
        <v>23.71</v>
      </c>
      <c r="J156" s="23">
        <f t="shared" si="138"/>
        <v>24.56</v>
      </c>
      <c r="K156" s="23">
        <f t="shared" si="133"/>
        <v>505.93039357528289</v>
      </c>
      <c r="L156" s="23">
        <f t="shared" si="134"/>
        <v>609.30327620809157</v>
      </c>
      <c r="M156" s="27">
        <f t="shared" si="135"/>
        <v>733.87317253727645</v>
      </c>
      <c r="N156" s="27">
        <f t="shared" si="136"/>
        <v>884.00026675298932</v>
      </c>
      <c r="O156" s="27">
        <f t="shared" ref="O156:O159" si="139">$O$169*O175</f>
        <v>1064.9440807126498</v>
      </c>
      <c r="P156" s="27">
        <f t="shared" si="137"/>
        <v>1283.0494130947441</v>
      </c>
    </row>
    <row r="157" spans="1:16" x14ac:dyDescent="0.25">
      <c r="A157" s="13" t="s">
        <v>56</v>
      </c>
      <c r="B157" s="23">
        <f>B86</f>
        <v>549.57000000000005</v>
      </c>
      <c r="C157" s="23">
        <f t="shared" ref="C157:J157" si="140">C86</f>
        <v>388.29</v>
      </c>
      <c r="D157" s="23">
        <f t="shared" si="140"/>
        <v>205.03</v>
      </c>
      <c r="E157" s="23">
        <f t="shared" si="140"/>
        <v>239.22</v>
      </c>
      <c r="F157" s="23">
        <f t="shared" si="140"/>
        <v>280.14</v>
      </c>
      <c r="G157" s="23">
        <f t="shared" si="140"/>
        <v>213.37</v>
      </c>
      <c r="H157" s="23">
        <f t="shared" si="140"/>
        <v>197.65</v>
      </c>
      <c r="I157" s="23">
        <f t="shared" si="140"/>
        <v>235.07</v>
      </c>
      <c r="J157" s="23">
        <f t="shared" si="140"/>
        <v>457.3</v>
      </c>
      <c r="K157" s="23">
        <f t="shared" si="133"/>
        <v>607.1164722903394</v>
      </c>
      <c r="L157" s="23">
        <f t="shared" si="134"/>
        <v>731.16393144970993</v>
      </c>
      <c r="M157" s="27">
        <f>$M$169*M176</f>
        <v>880.64780704473174</v>
      </c>
      <c r="N157" s="27">
        <f t="shared" si="136"/>
        <v>1060.8003201035872</v>
      </c>
      <c r="O157" s="27">
        <f t="shared" si="139"/>
        <v>1277.9328968551797</v>
      </c>
      <c r="P157" s="27">
        <f t="shared" si="137"/>
        <v>1539.6592957136927</v>
      </c>
    </row>
    <row r="158" spans="1:16" x14ac:dyDescent="0.25">
      <c r="A158" s="13" t="s">
        <v>57</v>
      </c>
      <c r="B158" s="23">
        <f>B87</f>
        <v>0</v>
      </c>
      <c r="C158" s="23">
        <f t="shared" ref="C158:J158" si="141">C87</f>
        <v>0</v>
      </c>
      <c r="D158" s="23">
        <f t="shared" si="141"/>
        <v>0</v>
      </c>
      <c r="E158" s="23">
        <f t="shared" si="141"/>
        <v>0</v>
      </c>
      <c r="F158" s="23">
        <f t="shared" si="141"/>
        <v>0</v>
      </c>
      <c r="G158" s="23">
        <f t="shared" si="141"/>
        <v>0</v>
      </c>
      <c r="H158" s="23">
        <f t="shared" si="141"/>
        <v>0</v>
      </c>
      <c r="I158" s="23">
        <f t="shared" si="141"/>
        <v>0</v>
      </c>
      <c r="J158" s="23">
        <f t="shared" si="141"/>
        <v>0</v>
      </c>
      <c r="K158" s="23">
        <f t="shared" si="133"/>
        <v>505.93039357528289</v>
      </c>
      <c r="L158" s="23">
        <f t="shared" si="134"/>
        <v>609.30327620809157</v>
      </c>
      <c r="M158" s="27">
        <f t="shared" si="135"/>
        <v>733.87317253727645</v>
      </c>
      <c r="N158" s="27">
        <f t="shared" si="136"/>
        <v>884.00026675298932</v>
      </c>
      <c r="O158" s="27">
        <f t="shared" si="139"/>
        <v>1064.9440807126498</v>
      </c>
      <c r="P158" s="27">
        <f t="shared" si="137"/>
        <v>1283.0494130947441</v>
      </c>
    </row>
    <row r="159" spans="1:16" x14ac:dyDescent="0.25">
      <c r="A159" s="1" t="s">
        <v>47</v>
      </c>
      <c r="B159" s="23">
        <f>B88+B89</f>
        <v>3491.3900000000003</v>
      </c>
      <c r="C159" s="23">
        <f t="shared" ref="C159:I159" si="142">C88+C89</f>
        <v>4685.8</v>
      </c>
      <c r="D159" s="23">
        <f t="shared" si="142"/>
        <v>6130.49</v>
      </c>
      <c r="E159" s="23">
        <f t="shared" si="142"/>
        <v>3820.99</v>
      </c>
      <c r="F159" s="23">
        <f t="shared" si="142"/>
        <v>5049.0899999999992</v>
      </c>
      <c r="G159" s="23">
        <f>G88+G89</f>
        <v>6563.01</v>
      </c>
      <c r="H159" s="23">
        <f t="shared" si="142"/>
        <v>6295.46</v>
      </c>
      <c r="I159" s="23">
        <f t="shared" si="142"/>
        <v>4200.21</v>
      </c>
      <c r="J159" s="23">
        <f>J88+J89</f>
        <v>4558.0300000000007</v>
      </c>
      <c r="K159" s="23">
        <f t="shared" si="133"/>
        <v>7588.955903629243</v>
      </c>
      <c r="L159" s="23">
        <f t="shared" si="134"/>
        <v>9139.5491431213723</v>
      </c>
      <c r="M159" s="27">
        <f t="shared" si="135"/>
        <v>11008.097588059145</v>
      </c>
      <c r="N159" s="27">
        <f t="shared" si="136"/>
        <v>13260.004001294839</v>
      </c>
      <c r="O159" s="27">
        <f t="shared" si="139"/>
        <v>15974.161210689745</v>
      </c>
      <c r="P159" s="27">
        <f t="shared" si="137"/>
        <v>19245.741196421157</v>
      </c>
    </row>
    <row r="160" spans="1:16" x14ac:dyDescent="0.25">
      <c r="A160" s="5"/>
      <c r="J160" s="6"/>
    </row>
    <row r="161" spans="1:16" s="34" customFormat="1" x14ac:dyDescent="0.25">
      <c r="A161" s="19" t="s">
        <v>32</v>
      </c>
      <c r="B161" s="39">
        <f>SUM(B162:B167)</f>
        <v>3670.85</v>
      </c>
      <c r="C161" s="39">
        <f t="shared" ref="C161:J161" si="143">SUM(C162:C167)</f>
        <v>4507.67</v>
      </c>
      <c r="D161" s="39">
        <f t="shared" si="143"/>
        <v>4854.9800000000005</v>
      </c>
      <c r="E161" s="39">
        <f t="shared" si="143"/>
        <v>4666.87</v>
      </c>
      <c r="F161" s="39">
        <f t="shared" si="143"/>
        <v>4368.8899999999994</v>
      </c>
      <c r="G161" s="39">
        <f t="shared" si="143"/>
        <v>6514.3099999999995</v>
      </c>
      <c r="H161" s="39">
        <f t="shared" si="143"/>
        <v>5395.38</v>
      </c>
      <c r="I161" s="39">
        <f t="shared" si="143"/>
        <v>6029.35</v>
      </c>
      <c r="J161" s="39">
        <f t="shared" si="143"/>
        <v>6979.08</v>
      </c>
      <c r="K161" s="39">
        <f t="shared" ref="K161" si="144">SUM(K162:K167)</f>
        <v>9309.1192417852053</v>
      </c>
      <c r="L161" s="39">
        <f t="shared" ref="L161" si="145">SUM(L162:L167)</f>
        <v>11211.180282228885</v>
      </c>
      <c r="M161" s="39">
        <f t="shared" ref="M161" si="146">SUM(M162:M167)</f>
        <v>13503.266374685885</v>
      </c>
      <c r="N161" s="39">
        <f t="shared" ref="N161" si="147">SUM(N162:N167)</f>
        <v>16265.604908255</v>
      </c>
      <c r="O161" s="39">
        <f t="shared" ref="O161" si="148">SUM(O162:O167)</f>
        <v>19594.971085112753</v>
      </c>
      <c r="P161" s="39">
        <f t="shared" ref="P161" si="149">SUM(P162:P167)</f>
        <v>23608.109200943287</v>
      </c>
    </row>
    <row r="162" spans="1:16" x14ac:dyDescent="0.25">
      <c r="A162" s="1" t="s">
        <v>81</v>
      </c>
      <c r="B162" s="23">
        <f>B53</f>
        <v>222.53</v>
      </c>
      <c r="C162" s="23">
        <f t="shared" ref="C162:J162" si="150">C53</f>
        <v>414.34</v>
      </c>
      <c r="D162" s="23">
        <f t="shared" si="150"/>
        <v>511.66</v>
      </c>
      <c r="E162" s="23">
        <f t="shared" si="150"/>
        <v>536.51</v>
      </c>
      <c r="F162" s="23">
        <f t="shared" si="150"/>
        <v>392.83</v>
      </c>
      <c r="G162" s="23">
        <f t="shared" si="150"/>
        <v>404.09</v>
      </c>
      <c r="H162" s="23">
        <f t="shared" si="150"/>
        <v>323</v>
      </c>
      <c r="I162" s="23">
        <f t="shared" si="150"/>
        <v>405.37</v>
      </c>
      <c r="J162" s="23">
        <f t="shared" si="150"/>
        <v>434.82</v>
      </c>
      <c r="K162" s="23">
        <f>$K$169*K181</f>
        <v>758.89559036292428</v>
      </c>
      <c r="L162" s="27">
        <f>$L$169*L181</f>
        <v>913.95491431213725</v>
      </c>
      <c r="M162" s="27">
        <f>$M$169*M181</f>
        <v>1100.8097588059145</v>
      </c>
      <c r="N162" s="27">
        <f>$N$169*N181</f>
        <v>1326.0004001294838</v>
      </c>
      <c r="O162" s="27">
        <f>$O$169*O181</f>
        <v>1597.4161210689745</v>
      </c>
      <c r="P162" s="27">
        <f>$P$169*P181</f>
        <v>1924.5741196421159</v>
      </c>
    </row>
    <row r="163" spans="1:16" x14ac:dyDescent="0.25">
      <c r="A163" s="1" t="s">
        <v>33</v>
      </c>
      <c r="B163" s="23">
        <f>B57</f>
        <v>0</v>
      </c>
      <c r="C163" s="23">
        <f t="shared" ref="C163:J163" si="151">C57</f>
        <v>0</v>
      </c>
      <c r="D163" s="23">
        <f t="shared" si="151"/>
        <v>0</v>
      </c>
      <c r="E163" s="23">
        <f t="shared" si="151"/>
        <v>0</v>
      </c>
      <c r="F163" s="23">
        <f t="shared" si="151"/>
        <v>28.29</v>
      </c>
      <c r="G163" s="23">
        <f t="shared" si="151"/>
        <v>19.7</v>
      </c>
      <c r="H163" s="23">
        <f t="shared" si="151"/>
        <v>25.75</v>
      </c>
      <c r="I163" s="23">
        <f t="shared" si="151"/>
        <v>22.02</v>
      </c>
      <c r="J163" s="23">
        <f t="shared" si="151"/>
        <v>26.08</v>
      </c>
      <c r="K163" s="23">
        <f t="shared" ref="K163:K167" si="152">$K$169*K182</f>
        <v>556.52343293281115</v>
      </c>
      <c r="L163" s="27">
        <f t="shared" ref="L163:L167" si="153">$L$169*L182</f>
        <v>670.23360382890064</v>
      </c>
      <c r="M163" s="27">
        <f t="shared" ref="M163:M167" si="154">$M$169*M182</f>
        <v>807.26048979100403</v>
      </c>
      <c r="N163" s="27">
        <f t="shared" ref="N163:N167" si="155">$N$169*N182</f>
        <v>972.40029342828814</v>
      </c>
      <c r="O163" s="27">
        <f t="shared" ref="O163:O167" si="156">$O$169*O182</f>
        <v>1171.4384887839146</v>
      </c>
      <c r="P163" s="27">
        <f t="shared" ref="P163:P167" si="157">$P$169*P182</f>
        <v>1411.3543544042182</v>
      </c>
    </row>
    <row r="164" spans="1:16" x14ac:dyDescent="0.25">
      <c r="A164" s="1" t="s">
        <v>34</v>
      </c>
      <c r="B164" s="23">
        <f>B58</f>
        <v>2650.56</v>
      </c>
      <c r="C164" s="23">
        <f t="shared" ref="C164:J164" si="158">C58</f>
        <v>3247.27</v>
      </c>
      <c r="D164" s="23">
        <f t="shared" si="158"/>
        <v>3318.81</v>
      </c>
      <c r="E164" s="23">
        <f t="shared" si="158"/>
        <v>3355.28</v>
      </c>
      <c r="F164" s="23">
        <f t="shared" si="158"/>
        <v>3030.5099999999998</v>
      </c>
      <c r="G164" s="23">
        <f t="shared" si="158"/>
        <v>5204.6099999999997</v>
      </c>
      <c r="H164" s="23">
        <f t="shared" si="158"/>
        <v>4260.34</v>
      </c>
      <c r="I164" s="23">
        <f t="shared" si="158"/>
        <v>4704.46</v>
      </c>
      <c r="J164" s="23">
        <f t="shared" si="158"/>
        <v>5528.15</v>
      </c>
      <c r="K164" s="23">
        <f t="shared" si="152"/>
        <v>6071.1647229033942</v>
      </c>
      <c r="L164" s="27">
        <f t="shared" si="153"/>
        <v>7311.639314497098</v>
      </c>
      <c r="M164" s="27">
        <f t="shared" si="154"/>
        <v>8806.478070447316</v>
      </c>
      <c r="N164" s="27">
        <f t="shared" si="155"/>
        <v>10608.00320103587</v>
      </c>
      <c r="O164" s="27">
        <f t="shared" si="156"/>
        <v>12779.328968551796</v>
      </c>
      <c r="P164" s="27">
        <f t="shared" si="157"/>
        <v>15396.592957136927</v>
      </c>
    </row>
    <row r="165" spans="1:16" x14ac:dyDescent="0.25">
      <c r="A165" s="1" t="s">
        <v>35</v>
      </c>
      <c r="B165" s="23">
        <f>B59</f>
        <v>502.4</v>
      </c>
      <c r="C165" s="23">
        <f t="shared" ref="C165:J165" si="159">C59</f>
        <v>454.28</v>
      </c>
      <c r="D165" s="23">
        <f t="shared" si="159"/>
        <v>762.58</v>
      </c>
      <c r="E165" s="23">
        <f t="shared" si="159"/>
        <v>495.18</v>
      </c>
      <c r="F165" s="23">
        <f t="shared" si="159"/>
        <v>518.26</v>
      </c>
      <c r="G165" s="23">
        <f t="shared" si="159"/>
        <v>566.01</v>
      </c>
      <c r="H165" s="23">
        <f t="shared" si="159"/>
        <v>492.12</v>
      </c>
      <c r="I165" s="23">
        <f t="shared" si="159"/>
        <v>557.84</v>
      </c>
      <c r="J165" s="23">
        <f t="shared" si="159"/>
        <v>585.6</v>
      </c>
      <c r="K165" s="23">
        <f t="shared" si="152"/>
        <v>758.89559036292428</v>
      </c>
      <c r="L165" s="27">
        <f>$L$169*L184</f>
        <v>913.95491431213725</v>
      </c>
      <c r="M165" s="27">
        <f t="shared" si="154"/>
        <v>1100.8097588059145</v>
      </c>
      <c r="N165" s="27">
        <f t="shared" si="155"/>
        <v>1326.0004001294838</v>
      </c>
      <c r="O165" s="27">
        <f t="shared" si="156"/>
        <v>1597.4161210689745</v>
      </c>
      <c r="P165" s="27">
        <f t="shared" si="157"/>
        <v>1924.5741196421159</v>
      </c>
    </row>
    <row r="166" spans="1:16" x14ac:dyDescent="0.25">
      <c r="A166" s="1" t="s">
        <v>36</v>
      </c>
      <c r="B166" s="23">
        <f>B60</f>
        <v>29.66</v>
      </c>
      <c r="C166" s="23">
        <f t="shared" ref="C166:J166" si="160">C60</f>
        <v>39.01</v>
      </c>
      <c r="D166" s="23">
        <f t="shared" si="160"/>
        <v>59.79</v>
      </c>
      <c r="E166" s="23">
        <f t="shared" si="160"/>
        <v>59.03</v>
      </c>
      <c r="F166" s="23">
        <f t="shared" si="160"/>
        <v>146.56</v>
      </c>
      <c r="G166" s="23">
        <f t="shared" si="160"/>
        <v>160.37</v>
      </c>
      <c r="H166" s="23">
        <f t="shared" si="160"/>
        <v>160.41999999999999</v>
      </c>
      <c r="I166" s="23">
        <f t="shared" si="160"/>
        <v>175.69</v>
      </c>
      <c r="J166" s="23">
        <f t="shared" si="160"/>
        <v>154.13999999999999</v>
      </c>
      <c r="K166" s="23">
        <f t="shared" si="152"/>
        <v>505.93039357528289</v>
      </c>
      <c r="L166" s="27">
        <f t="shared" si="153"/>
        <v>609.30327620809157</v>
      </c>
      <c r="M166" s="27">
        <f t="shared" si="154"/>
        <v>733.87317253727645</v>
      </c>
      <c r="N166" s="27">
        <f t="shared" si="155"/>
        <v>884.00026675298932</v>
      </c>
      <c r="O166" s="27">
        <f t="shared" si="156"/>
        <v>1064.9440807126498</v>
      </c>
      <c r="P166" s="27">
        <f t="shared" si="157"/>
        <v>1283.0494130947441</v>
      </c>
    </row>
    <row r="167" spans="1:16" x14ac:dyDescent="0.25">
      <c r="A167" s="1" t="s">
        <v>37</v>
      </c>
      <c r="B167" s="23">
        <f>B61</f>
        <v>265.7</v>
      </c>
      <c r="C167" s="23">
        <f t="shared" ref="C167:J167" si="161">C61</f>
        <v>352.77</v>
      </c>
      <c r="D167" s="23">
        <f t="shared" si="161"/>
        <v>202.14</v>
      </c>
      <c r="E167" s="23">
        <f t="shared" si="161"/>
        <v>220.87</v>
      </c>
      <c r="F167" s="23">
        <f t="shared" si="161"/>
        <v>252.44</v>
      </c>
      <c r="G167" s="23">
        <f t="shared" si="161"/>
        <v>159.53</v>
      </c>
      <c r="H167" s="23">
        <f t="shared" si="161"/>
        <v>133.75</v>
      </c>
      <c r="I167" s="23">
        <f t="shared" si="161"/>
        <v>163.97</v>
      </c>
      <c r="J167" s="23">
        <f t="shared" si="161"/>
        <v>250.29</v>
      </c>
      <c r="K167" s="23">
        <f t="shared" si="152"/>
        <v>657.70951164786777</v>
      </c>
      <c r="L167" s="27">
        <f t="shared" si="153"/>
        <v>792.09425907051912</v>
      </c>
      <c r="M167" s="27">
        <f t="shared" si="154"/>
        <v>954.03512429845944</v>
      </c>
      <c r="N167" s="27">
        <f t="shared" si="155"/>
        <v>1149.2003467788861</v>
      </c>
      <c r="O167" s="27">
        <f t="shared" si="156"/>
        <v>1384.4273049264448</v>
      </c>
      <c r="P167" s="27">
        <f t="shared" si="157"/>
        <v>1667.9642370231672</v>
      </c>
    </row>
    <row r="168" spans="1:16" x14ac:dyDescent="0.25">
      <c r="A168" s="5"/>
      <c r="J168" s="6"/>
    </row>
    <row r="169" spans="1:16" s="34" customFormat="1" x14ac:dyDescent="0.25">
      <c r="A169" s="11" t="s">
        <v>82</v>
      </c>
      <c r="B169" s="40">
        <f>B3</f>
        <v>30700.880000000001</v>
      </c>
      <c r="C169" s="40">
        <f t="shared" ref="C169:I169" si="162">C3</f>
        <v>30958.19</v>
      </c>
      <c r="D169" s="40">
        <f t="shared" si="162"/>
        <v>33100.94</v>
      </c>
      <c r="E169" s="40">
        <f t="shared" si="162"/>
        <v>33972.230000000003</v>
      </c>
      <c r="F169" s="40">
        <f t="shared" si="162"/>
        <v>28836.09</v>
      </c>
      <c r="G169" s="40">
        <f t="shared" si="162"/>
        <v>30959.19</v>
      </c>
      <c r="H169" s="40">
        <f t="shared" si="162"/>
        <v>29245.47</v>
      </c>
      <c r="I169" s="40">
        <f t="shared" si="162"/>
        <v>33805.65</v>
      </c>
      <c r="J169" s="40">
        <f>J3</f>
        <v>37455.72</v>
      </c>
      <c r="K169" s="40">
        <f>K3</f>
        <v>50593.039357528287</v>
      </c>
      <c r="L169" s="40">
        <f t="shared" ref="L169:P169" si="163">L3</f>
        <v>60930.327620809156</v>
      </c>
      <c r="M169" s="40">
        <f t="shared" si="163"/>
        <v>73387.31725372764</v>
      </c>
      <c r="N169" s="40">
        <f t="shared" si="163"/>
        <v>88400.026675298926</v>
      </c>
      <c r="O169" s="40">
        <f t="shared" si="163"/>
        <v>106494.40807126497</v>
      </c>
      <c r="P169" s="40">
        <f t="shared" si="163"/>
        <v>128304.94130947439</v>
      </c>
    </row>
    <row r="170" spans="1:16" x14ac:dyDescent="0.25">
      <c r="A170" s="5"/>
      <c r="J170" s="6"/>
    </row>
    <row r="171" spans="1:16" x14ac:dyDescent="0.25">
      <c r="A171" s="11" t="s">
        <v>83</v>
      </c>
      <c r="J171" s="6"/>
    </row>
    <row r="172" spans="1:16" s="34" customFormat="1" x14ac:dyDescent="0.25">
      <c r="A172" s="19" t="s">
        <v>51</v>
      </c>
      <c r="B172" s="41">
        <f>B153/B169</f>
        <v>0.19608102438757458</v>
      </c>
      <c r="C172" s="41">
        <f>C153/C169</f>
        <v>0.23633326108535416</v>
      </c>
      <c r="D172" s="41">
        <f t="shared" ref="D172:H172" si="164">D153/D169</f>
        <v>0.26303905568844871</v>
      </c>
      <c r="E172" s="41">
        <f t="shared" si="164"/>
        <v>0.23487154066718607</v>
      </c>
      <c r="F172" s="41">
        <f t="shared" si="164"/>
        <v>0.27904962149861506</v>
      </c>
      <c r="G172" s="41">
        <f t="shared" si="164"/>
        <v>0.34547544687054149</v>
      </c>
      <c r="H172" s="41">
        <f t="shared" si="164"/>
        <v>0.33997880697420829</v>
      </c>
      <c r="I172" s="41">
        <f>I153/I169</f>
        <v>0.25709578132649424</v>
      </c>
      <c r="J172" s="41">
        <f>J153/J169</f>
        <v>0.24527869174588021</v>
      </c>
      <c r="K172" s="41">
        <f>K153/K169</f>
        <v>0.30700000000000005</v>
      </c>
      <c r="L172" s="41">
        <f>L153/L169</f>
        <v>0.30699999999999994</v>
      </c>
      <c r="M172" s="41">
        <f t="shared" ref="M172:P172" si="165">M153/M169</f>
        <v>0.307</v>
      </c>
      <c r="N172" s="41">
        <f t="shared" si="165"/>
        <v>0.30700000000000005</v>
      </c>
      <c r="O172" s="41">
        <f t="shared" si="165"/>
        <v>0.307</v>
      </c>
      <c r="P172" s="41">
        <f t="shared" si="165"/>
        <v>0.307</v>
      </c>
    </row>
    <row r="173" spans="1:16" x14ac:dyDescent="0.25">
      <c r="A173" s="13" t="s">
        <v>52</v>
      </c>
      <c r="B173" s="38">
        <f>B154/B169</f>
        <v>2.192054429710158E-2</v>
      </c>
      <c r="C173" s="38">
        <f t="shared" ref="C173:J173" si="166">C154/C169</f>
        <v>2.1199882809686224E-2</v>
      </c>
      <c r="D173" s="38">
        <f t="shared" si="166"/>
        <v>2.4880864410497104E-2</v>
      </c>
      <c r="E173" s="38">
        <f t="shared" si="166"/>
        <v>3.1564015668091257E-2</v>
      </c>
      <c r="F173" s="38">
        <f t="shared" si="166"/>
        <v>3.7868171447654655E-2</v>
      </c>
      <c r="G173" s="38">
        <f t="shared" si="166"/>
        <v>4.7467327149063009E-2</v>
      </c>
      <c r="H173" s="38">
        <f t="shared" si="166"/>
        <v>3.8387141666726507E-2</v>
      </c>
      <c r="I173" s="38">
        <f t="shared" si="166"/>
        <v>4.2421607039060033E-2</v>
      </c>
      <c r="J173" s="38">
        <f t="shared" si="166"/>
        <v>3.8545781525491964E-2</v>
      </c>
      <c r="K173" s="52">
        <v>0.05</v>
      </c>
      <c r="L173" s="52">
        <v>0.05</v>
      </c>
      <c r="M173" s="52">
        <v>0.05</v>
      </c>
      <c r="N173" s="52">
        <v>0.05</v>
      </c>
      <c r="O173" s="52">
        <v>0.05</v>
      </c>
      <c r="P173" s="52">
        <v>0.05</v>
      </c>
    </row>
    <row r="174" spans="1:16" x14ac:dyDescent="0.25">
      <c r="A174" s="13" t="s">
        <v>53</v>
      </c>
      <c r="B174" s="38">
        <f>B155/B169</f>
        <v>4.178381857458157E-2</v>
      </c>
      <c r="C174" s="38">
        <f t="shared" ref="C174:J174" si="167">C155/C169</f>
        <v>5.045094690613372E-2</v>
      </c>
      <c r="D174" s="38">
        <f t="shared" si="167"/>
        <v>4.592558398643664E-2</v>
      </c>
      <c r="E174" s="38">
        <f t="shared" si="167"/>
        <v>8.3055189488591114E-2</v>
      </c>
      <c r="F174" s="38">
        <f t="shared" si="167"/>
        <v>5.559491595427813E-2</v>
      </c>
      <c r="G174" s="38">
        <f t="shared" si="167"/>
        <v>7.8385771720771769E-2</v>
      </c>
      <c r="H174" s="38">
        <f t="shared" si="167"/>
        <v>7.8790663990012805E-2</v>
      </c>
      <c r="I174" s="38">
        <f t="shared" si="167"/>
        <v>8.2773441717582705E-2</v>
      </c>
      <c r="J174" s="38">
        <f t="shared" si="167"/>
        <v>7.2176959887568573E-2</v>
      </c>
      <c r="K174" s="52">
        <v>7.4999999999999997E-2</v>
      </c>
      <c r="L174" s="52">
        <v>7.4999999999999997E-2</v>
      </c>
      <c r="M174" s="52">
        <v>7.4999999999999997E-2</v>
      </c>
      <c r="N174" s="52">
        <v>7.4999999999999997E-2</v>
      </c>
      <c r="O174" s="52">
        <v>7.4999999999999997E-2</v>
      </c>
      <c r="P174" s="52">
        <v>7.4999999999999997E-2</v>
      </c>
    </row>
    <row r="175" spans="1:16" x14ac:dyDescent="0.25">
      <c r="A175" s="13" t="s">
        <v>55</v>
      </c>
      <c r="B175" s="38">
        <f>B156/B169</f>
        <v>7.5307287608693957E-4</v>
      </c>
      <c r="C175" s="38">
        <f t="shared" ref="C175:I175" si="168">C156/C169</f>
        <v>7.8105341429844579E-4</v>
      </c>
      <c r="D175" s="38">
        <f t="shared" si="168"/>
        <v>8.3260475382270101E-4</v>
      </c>
      <c r="E175" s="38">
        <f t="shared" si="168"/>
        <v>7.3677824505485802E-4</v>
      </c>
      <c r="F175" s="38">
        <f t="shared" si="168"/>
        <v>7.7541719421738515E-4</v>
      </c>
      <c r="G175" s="38">
        <f t="shared" si="168"/>
        <v>7.4129846420400536E-4</v>
      </c>
      <c r="H175" s="38">
        <f t="shared" si="168"/>
        <v>7.7994985206255869E-4</v>
      </c>
      <c r="I175" s="38">
        <f t="shared" si="168"/>
        <v>7.0136205042648197E-4</v>
      </c>
      <c r="J175" s="38">
        <f>J156/J169</f>
        <v>6.5570759285898115E-4</v>
      </c>
      <c r="K175" s="52">
        <v>0.01</v>
      </c>
      <c r="L175" s="52">
        <v>0.01</v>
      </c>
      <c r="M175" s="52">
        <v>0.01</v>
      </c>
      <c r="N175" s="52">
        <v>0.01</v>
      </c>
      <c r="O175" s="52">
        <v>0.01</v>
      </c>
      <c r="P175" s="52">
        <v>0.01</v>
      </c>
    </row>
    <row r="176" spans="1:16" x14ac:dyDescent="0.25">
      <c r="A176" s="13" t="s">
        <v>56</v>
      </c>
      <c r="B176" s="38">
        <f>B157/B169</f>
        <v>1.7900789814493917E-2</v>
      </c>
      <c r="C176" s="38">
        <f t="shared" ref="C176:J176" si="169">C157/C169</f>
        <v>1.2542399927127523E-2</v>
      </c>
      <c r="D176" s="38">
        <f t="shared" si="169"/>
        <v>6.1940839142332511E-3</v>
      </c>
      <c r="E176" s="38">
        <f t="shared" si="169"/>
        <v>7.0416337108279315E-3</v>
      </c>
      <c r="F176" s="38">
        <f t="shared" si="169"/>
        <v>9.71490933756969E-3</v>
      </c>
      <c r="G176" s="38">
        <f t="shared" si="169"/>
        <v>6.8919761789633391E-3</v>
      </c>
      <c r="H176" s="38">
        <f t="shared" si="169"/>
        <v>6.7583116291172612E-3</v>
      </c>
      <c r="I176" s="38">
        <f t="shared" si="169"/>
        <v>6.953571370466179E-3</v>
      </c>
      <c r="J176" s="38">
        <f t="shared" si="169"/>
        <v>1.2209083152052611E-2</v>
      </c>
      <c r="K176" s="52">
        <v>1.2E-2</v>
      </c>
      <c r="L176" s="52">
        <v>1.2E-2</v>
      </c>
      <c r="M176" s="52">
        <v>1.2E-2</v>
      </c>
      <c r="N176" s="52">
        <v>1.2E-2</v>
      </c>
      <c r="O176" s="52">
        <v>1.2E-2</v>
      </c>
      <c r="P176" s="52">
        <v>1.2E-2</v>
      </c>
    </row>
    <row r="177" spans="1:16" x14ac:dyDescent="0.25">
      <c r="A177" s="13" t="s">
        <v>57</v>
      </c>
      <c r="B177" s="38">
        <f>B158/B169</f>
        <v>0</v>
      </c>
      <c r="C177" s="38">
        <f t="shared" ref="C177:J177" si="170">C158/C169</f>
        <v>0</v>
      </c>
      <c r="D177" s="38">
        <f t="shared" si="170"/>
        <v>0</v>
      </c>
      <c r="E177" s="38">
        <f t="shared" si="170"/>
        <v>0</v>
      </c>
      <c r="F177" s="38">
        <f t="shared" si="170"/>
        <v>0</v>
      </c>
      <c r="G177" s="38">
        <f t="shared" si="170"/>
        <v>0</v>
      </c>
      <c r="H177" s="38">
        <f t="shared" si="170"/>
        <v>0</v>
      </c>
      <c r="I177" s="38">
        <f t="shared" si="170"/>
        <v>0</v>
      </c>
      <c r="J177" s="38">
        <f t="shared" si="170"/>
        <v>0</v>
      </c>
      <c r="K177" s="52">
        <v>0.01</v>
      </c>
      <c r="L177" s="52">
        <v>0.01</v>
      </c>
      <c r="M177" s="52">
        <v>0.01</v>
      </c>
      <c r="N177" s="52">
        <v>0.01</v>
      </c>
      <c r="O177" s="52">
        <v>0.01</v>
      </c>
      <c r="P177" s="52">
        <v>0.01</v>
      </c>
    </row>
    <row r="178" spans="1:16" x14ac:dyDescent="0.25">
      <c r="A178" s="1" t="s">
        <v>47</v>
      </c>
      <c r="B178" s="38">
        <f>B159/B169</f>
        <v>0.11372279882531056</v>
      </c>
      <c r="C178" s="38">
        <f t="shared" ref="C178:J178" si="171">C159/C169</f>
        <v>0.15135897802810824</v>
      </c>
      <c r="D178" s="38">
        <f t="shared" si="171"/>
        <v>0.185205918623459</v>
      </c>
      <c r="E178" s="38">
        <f t="shared" si="171"/>
        <v>0.11247392355462092</v>
      </c>
      <c r="F178" s="38">
        <f t="shared" si="171"/>
        <v>0.17509620756489522</v>
      </c>
      <c r="G178" s="38">
        <f t="shared" si="171"/>
        <v>0.21198907335753941</v>
      </c>
      <c r="H178" s="38">
        <f t="shared" si="171"/>
        <v>0.21526273983628916</v>
      </c>
      <c r="I178" s="38">
        <f t="shared" si="171"/>
        <v>0.12424579914895882</v>
      </c>
      <c r="J178" s="38">
        <f t="shared" si="171"/>
        <v>0.12169115958790808</v>
      </c>
      <c r="K178" s="52">
        <v>0.15</v>
      </c>
      <c r="L178" s="52">
        <v>0.15</v>
      </c>
      <c r="M178" s="52">
        <v>0.15</v>
      </c>
      <c r="N178" s="52">
        <v>0.15</v>
      </c>
      <c r="O178" s="52">
        <v>0.15</v>
      </c>
      <c r="P178" s="52">
        <v>0.15</v>
      </c>
    </row>
    <row r="179" spans="1:16" x14ac:dyDescent="0.25">
      <c r="A179" s="5"/>
      <c r="J179" s="6"/>
    </row>
    <row r="180" spans="1:16" s="34" customFormat="1" x14ac:dyDescent="0.25">
      <c r="A180" s="19" t="s">
        <v>32</v>
      </c>
      <c r="B180" s="41">
        <f>B161/B169</f>
        <v>0.11956823387472931</v>
      </c>
      <c r="C180" s="41">
        <f t="shared" ref="C180:J180" si="172">C161/C169</f>
        <v>0.14560508866958954</v>
      </c>
      <c r="D180" s="41">
        <f t="shared" si="172"/>
        <v>0.14667196762388018</v>
      </c>
      <c r="E180" s="41">
        <f t="shared" si="172"/>
        <v>0.13737308383935937</v>
      </c>
      <c r="F180" s="41">
        <f t="shared" si="172"/>
        <v>0.15150771134366689</v>
      </c>
      <c r="G180" s="41">
        <f t="shared" si="172"/>
        <v>0.21041603478643983</v>
      </c>
      <c r="H180" s="41">
        <f t="shared" si="172"/>
        <v>0.184486007576558</v>
      </c>
      <c r="I180" s="41">
        <f t="shared" si="172"/>
        <v>0.17835332259548331</v>
      </c>
      <c r="J180" s="41">
        <f t="shared" si="172"/>
        <v>0.18632881706719293</v>
      </c>
      <c r="K180" s="54">
        <v>0.17</v>
      </c>
      <c r="L180" s="54">
        <v>0.17</v>
      </c>
      <c r="M180" s="54">
        <v>0.17</v>
      </c>
      <c r="N180" s="54">
        <v>0.17</v>
      </c>
      <c r="O180" s="54">
        <v>0.17</v>
      </c>
      <c r="P180" s="54">
        <v>0.17</v>
      </c>
    </row>
    <row r="181" spans="1:16" x14ac:dyDescent="0.25">
      <c r="A181" s="1" t="s">
        <v>81</v>
      </c>
      <c r="B181" s="38">
        <f>B162/B169</f>
        <v>7.2483264323367925E-3</v>
      </c>
      <c r="C181" s="38">
        <f t="shared" ref="C181:J181" si="173">C162/C169</f>
        <v>1.338385738959545E-2</v>
      </c>
      <c r="D181" s="38">
        <f t="shared" si="173"/>
        <v>1.5457567066071235E-2</v>
      </c>
      <c r="E181" s="38">
        <f t="shared" si="173"/>
        <v>1.5792604724505867E-2</v>
      </c>
      <c r="F181" s="38">
        <f t="shared" si="173"/>
        <v>1.3622859409857578E-2</v>
      </c>
      <c r="G181" s="38">
        <f t="shared" si="173"/>
        <v>1.3052344069725339E-2</v>
      </c>
      <c r="H181" s="38">
        <f t="shared" si="173"/>
        <v>1.1044445515835444E-2</v>
      </c>
      <c r="I181" s="38">
        <f t="shared" si="173"/>
        <v>1.1991190821652594E-2</v>
      </c>
      <c r="J181" s="38">
        <f t="shared" si="173"/>
        <v>1.1608907798328266E-2</v>
      </c>
      <c r="K181" s="52">
        <v>1.4999999999999999E-2</v>
      </c>
      <c r="L181" s="52">
        <v>1.4999999999999999E-2</v>
      </c>
      <c r="M181" s="52">
        <v>1.4999999999999999E-2</v>
      </c>
      <c r="N181" s="52">
        <v>1.4999999999999999E-2</v>
      </c>
      <c r="O181" s="52">
        <v>1.4999999999999999E-2</v>
      </c>
      <c r="P181" s="52">
        <v>1.4999999999999999E-2</v>
      </c>
    </row>
    <row r="182" spans="1:16" x14ac:dyDescent="0.25">
      <c r="A182" s="1" t="s">
        <v>33</v>
      </c>
      <c r="B182" s="38">
        <f>B163/B169</f>
        <v>0</v>
      </c>
      <c r="C182" s="38">
        <f t="shared" ref="C182:J182" si="174">C163/C169</f>
        <v>0</v>
      </c>
      <c r="D182" s="38">
        <f t="shared" si="174"/>
        <v>0</v>
      </c>
      <c r="E182" s="38">
        <f t="shared" si="174"/>
        <v>0</v>
      </c>
      <c r="F182" s="38">
        <f t="shared" si="174"/>
        <v>9.8106227300580632E-4</v>
      </c>
      <c r="G182" s="38">
        <f t="shared" si="174"/>
        <v>6.3632155750844904E-4</v>
      </c>
      <c r="H182" s="38">
        <f t="shared" si="174"/>
        <v>8.8047824158750052E-4</v>
      </c>
      <c r="I182" s="38">
        <f t="shared" si="174"/>
        <v>6.513704070177618E-4</v>
      </c>
      <c r="J182" s="38">
        <f t="shared" si="174"/>
        <v>6.9628884453429274E-4</v>
      </c>
      <c r="K182" s="52">
        <v>1.0999999999999999E-2</v>
      </c>
      <c r="L182" s="52">
        <v>1.0999999999999999E-2</v>
      </c>
      <c r="M182" s="52">
        <v>1.0999999999999999E-2</v>
      </c>
      <c r="N182" s="52">
        <v>1.0999999999999999E-2</v>
      </c>
      <c r="O182" s="52">
        <v>1.0999999999999999E-2</v>
      </c>
      <c r="P182" s="52">
        <v>1.0999999999999999E-2</v>
      </c>
    </row>
    <row r="183" spans="1:16" x14ac:dyDescent="0.25">
      <c r="A183" s="1" t="s">
        <v>34</v>
      </c>
      <c r="B183" s="38">
        <f>B164/B169</f>
        <v>8.6334984534645262E-2</v>
      </c>
      <c r="C183" s="38">
        <f t="shared" ref="C183:J183" si="175">C164/C169</f>
        <v>0.1048921141707574</v>
      </c>
      <c r="D183" s="38">
        <f t="shared" si="175"/>
        <v>0.10026331578498979</v>
      </c>
      <c r="E183" s="38">
        <f t="shared" si="175"/>
        <v>9.8765373953961802E-2</v>
      </c>
      <c r="F183" s="38">
        <f t="shared" si="175"/>
        <v>0.10509434531519356</v>
      </c>
      <c r="G183" s="38">
        <f t="shared" si="175"/>
        <v>0.1681119564174644</v>
      </c>
      <c r="H183" s="38">
        <f t="shared" si="175"/>
        <v>0.14567521055397639</v>
      </c>
      <c r="I183" s="38">
        <f t="shared" si="175"/>
        <v>0.13916194482283287</v>
      </c>
      <c r="J183" s="38">
        <f t="shared" si="175"/>
        <v>0.1475916095058378</v>
      </c>
      <c r="K183" s="52">
        <v>0.12</v>
      </c>
      <c r="L183" s="52">
        <v>0.12</v>
      </c>
      <c r="M183" s="52">
        <v>0.12</v>
      </c>
      <c r="N183" s="52">
        <v>0.12</v>
      </c>
      <c r="O183" s="52">
        <v>0.12</v>
      </c>
      <c r="P183" s="52">
        <v>0.12</v>
      </c>
    </row>
    <row r="184" spans="1:16" x14ac:dyDescent="0.25">
      <c r="A184" s="1" t="s">
        <v>35</v>
      </c>
      <c r="B184" s="38">
        <f>B165/B169</f>
        <v>1.6364351771024153E-2</v>
      </c>
      <c r="C184" s="38">
        <f t="shared" ref="C184:J184" si="176">C165/C169</f>
        <v>1.4673984493279484E-2</v>
      </c>
      <c r="D184" s="38">
        <f t="shared" si="176"/>
        <v>2.303801644303757E-2</v>
      </c>
      <c r="E184" s="38">
        <f t="shared" si="176"/>
        <v>1.4576022828056914E-2</v>
      </c>
      <c r="F184" s="38">
        <f t="shared" si="176"/>
        <v>1.7972616953269321E-2</v>
      </c>
      <c r="G184" s="38">
        <f t="shared" si="176"/>
        <v>1.8282455064231332E-2</v>
      </c>
      <c r="H184" s="38">
        <f t="shared" si="176"/>
        <v>1.6827221446603525E-2</v>
      </c>
      <c r="I184" s="38">
        <f t="shared" si="176"/>
        <v>1.6501383644449967E-2</v>
      </c>
      <c r="J184" s="38">
        <f t="shared" si="176"/>
        <v>1.5634461171751605E-2</v>
      </c>
      <c r="K184" s="52">
        <v>1.4999999999999999E-2</v>
      </c>
      <c r="L184" s="52">
        <v>1.4999999999999999E-2</v>
      </c>
      <c r="M184" s="52">
        <v>1.4999999999999999E-2</v>
      </c>
      <c r="N184" s="52">
        <v>1.4999999999999999E-2</v>
      </c>
      <c r="O184" s="52">
        <v>1.4999999999999999E-2</v>
      </c>
      <c r="P184" s="52">
        <v>1.4999999999999999E-2</v>
      </c>
    </row>
    <row r="185" spans="1:16" x14ac:dyDescent="0.25">
      <c r="A185" s="1" t="s">
        <v>36</v>
      </c>
      <c r="B185" s="38">
        <f>B166/B169</f>
        <v>9.6609608584509628E-4</v>
      </c>
      <c r="C185" s="38">
        <f t="shared" ref="C185:J185" si="177">C166/C169</f>
        <v>1.2600865877494777E-3</v>
      </c>
      <c r="D185" s="38">
        <f t="shared" si="177"/>
        <v>1.8062931143345172E-3</v>
      </c>
      <c r="E185" s="38">
        <f t="shared" si="177"/>
        <v>1.737595677410638E-3</v>
      </c>
      <c r="F185" s="38">
        <f t="shared" si="177"/>
        <v>5.0825198561940954E-3</v>
      </c>
      <c r="G185" s="38">
        <f t="shared" si="177"/>
        <v>5.180045085158882E-3</v>
      </c>
      <c r="H185" s="38">
        <f t="shared" si="177"/>
        <v>5.4852939617657023E-3</v>
      </c>
      <c r="I185" s="38">
        <f t="shared" si="177"/>
        <v>5.197060254720734E-3</v>
      </c>
      <c r="J185" s="38">
        <f t="shared" si="177"/>
        <v>4.1152592981792899E-3</v>
      </c>
      <c r="K185" s="52">
        <v>0.01</v>
      </c>
      <c r="L185" s="52">
        <v>0.01</v>
      </c>
      <c r="M185" s="52">
        <v>0.01</v>
      </c>
      <c r="N185" s="52">
        <v>0.01</v>
      </c>
      <c r="O185" s="52">
        <v>0.01</v>
      </c>
      <c r="P185" s="52">
        <v>0.01</v>
      </c>
    </row>
    <row r="186" spans="1:16" x14ac:dyDescent="0.25">
      <c r="A186" s="1" t="s">
        <v>37</v>
      </c>
      <c r="B186" s="38">
        <f>B167/B169</f>
        <v>8.6544750508780206E-3</v>
      </c>
      <c r="C186" s="38">
        <f t="shared" ref="C186:J186" si="178">C167/C169</f>
        <v>1.1395046028207722E-2</v>
      </c>
      <c r="D186" s="38">
        <f t="shared" si="178"/>
        <v>6.1067752154470526E-3</v>
      </c>
      <c r="E186" s="38">
        <f t="shared" si="178"/>
        <v>6.5014866554241506E-3</v>
      </c>
      <c r="F186" s="38">
        <f t="shared" si="178"/>
        <v>8.7543075361465432E-3</v>
      </c>
      <c r="G186" s="38">
        <f t="shared" si="178"/>
        <v>5.1529125923514153E-3</v>
      </c>
      <c r="H186" s="38">
        <f t="shared" si="178"/>
        <v>4.5733578567894442E-3</v>
      </c>
      <c r="I186" s="38">
        <f t="shared" si="178"/>
        <v>4.8503726448093729E-3</v>
      </c>
      <c r="J186" s="38">
        <f t="shared" si="178"/>
        <v>6.6822904485616614E-3</v>
      </c>
      <c r="K186" s="55">
        <f>1.3%</f>
        <v>1.3000000000000001E-2</v>
      </c>
      <c r="L186" s="55">
        <f t="shared" ref="L186:P186" si="179">1.3%</f>
        <v>1.3000000000000001E-2</v>
      </c>
      <c r="M186" s="55">
        <f t="shared" si="179"/>
        <v>1.3000000000000001E-2</v>
      </c>
      <c r="N186" s="55">
        <f t="shared" si="179"/>
        <v>1.3000000000000001E-2</v>
      </c>
      <c r="O186" s="55">
        <f t="shared" si="179"/>
        <v>1.3000000000000001E-2</v>
      </c>
      <c r="P186" s="55">
        <f t="shared" si="179"/>
        <v>1.3000000000000001E-2</v>
      </c>
    </row>
    <row r="187" spans="1:16" x14ac:dyDescent="0.25">
      <c r="A187" s="5"/>
      <c r="J187" s="6"/>
    </row>
    <row r="188" spans="1:16" s="34" customFormat="1" x14ac:dyDescent="0.25">
      <c r="A188" s="11" t="s">
        <v>84</v>
      </c>
      <c r="B188" s="39">
        <f>B153-B161</f>
        <v>2349.0100000000007</v>
      </c>
      <c r="C188" s="39">
        <f t="shared" ref="C188:I188" si="180">C153-C161</f>
        <v>2808.7799999999997</v>
      </c>
      <c r="D188" s="39">
        <f t="shared" si="180"/>
        <v>3851.8599999999997</v>
      </c>
      <c r="E188" s="39">
        <f t="shared" si="180"/>
        <v>3312.24</v>
      </c>
      <c r="F188" s="39">
        <f t="shared" si="180"/>
        <v>3677.8099999999995</v>
      </c>
      <c r="G188" s="39">
        <f t="shared" si="180"/>
        <v>4181.33</v>
      </c>
      <c r="H188" s="39">
        <f t="shared" si="180"/>
        <v>4547.46</v>
      </c>
      <c r="I188" s="39">
        <f t="shared" si="180"/>
        <v>2661.9400000000005</v>
      </c>
      <c r="J188" s="39">
        <f>J153-J161</f>
        <v>2208.0100000000002</v>
      </c>
      <c r="K188" s="39">
        <f t="shared" ref="K188:P188" si="181">K153-K161</f>
        <v>6222.9438409759805</v>
      </c>
      <c r="L188" s="39">
        <f t="shared" si="181"/>
        <v>7494.4302973595222</v>
      </c>
      <c r="M188" s="39">
        <f t="shared" si="181"/>
        <v>9026.6400222084994</v>
      </c>
      <c r="N188" s="39">
        <f t="shared" si="181"/>
        <v>10873.203281061773</v>
      </c>
      <c r="O188" s="39">
        <f t="shared" si="181"/>
        <v>13098.812192765592</v>
      </c>
      <c r="P188" s="39">
        <f t="shared" si="181"/>
        <v>15781.507781065349</v>
      </c>
    </row>
    <row r="189" spans="1:16" x14ac:dyDescent="0.25">
      <c r="A189" s="1" t="s">
        <v>85</v>
      </c>
      <c r="C189" s="27">
        <f>C188-B188</f>
        <v>459.76999999999907</v>
      </c>
      <c r="D189" s="27">
        <f t="shared" ref="D189:I189" si="182">D188-C188</f>
        <v>1043.08</v>
      </c>
      <c r="E189" s="27">
        <f t="shared" si="182"/>
        <v>-539.61999999999989</v>
      </c>
      <c r="F189" s="27">
        <f t="shared" si="182"/>
        <v>365.56999999999971</v>
      </c>
      <c r="G189" s="27">
        <f t="shared" si="182"/>
        <v>503.52000000000044</v>
      </c>
      <c r="H189" s="27">
        <f t="shared" si="182"/>
        <v>366.13000000000011</v>
      </c>
      <c r="I189" s="27">
        <f t="shared" si="182"/>
        <v>-1885.5199999999995</v>
      </c>
      <c r="J189" s="27">
        <f>J188-I188</f>
        <v>-453.93000000000029</v>
      </c>
      <c r="K189" s="27">
        <f t="shared" ref="K189:P189" si="183">K188-J188</f>
        <v>4014.9338409759803</v>
      </c>
      <c r="L189" s="27">
        <f t="shared" si="183"/>
        <v>1271.4864563835417</v>
      </c>
      <c r="M189" s="27">
        <f t="shared" si="183"/>
        <v>1532.2097248489772</v>
      </c>
      <c r="N189" s="27">
        <f t="shared" si="183"/>
        <v>1846.5632588532735</v>
      </c>
      <c r="O189" s="27">
        <f t="shared" si="183"/>
        <v>2225.6089117038191</v>
      </c>
      <c r="P189" s="27">
        <f t="shared" si="183"/>
        <v>2682.6955882997572</v>
      </c>
    </row>
    <row r="190" spans="1:16" x14ac:dyDescent="0.25">
      <c r="A190" s="5"/>
      <c r="J190" s="6"/>
    </row>
    <row r="191" spans="1:16" x14ac:dyDescent="0.25">
      <c r="A191" s="5"/>
      <c r="J191" s="6"/>
    </row>
    <row r="192" spans="1:16" x14ac:dyDescent="0.25">
      <c r="A192" s="5"/>
      <c r="J192" s="6"/>
    </row>
    <row r="193" spans="1:16" x14ac:dyDescent="0.25">
      <c r="A193" s="11" t="s">
        <v>86</v>
      </c>
      <c r="J193" s="6"/>
    </row>
    <row r="194" spans="1:16" x14ac:dyDescent="0.25">
      <c r="A194" s="5" t="s">
        <v>87</v>
      </c>
      <c r="B194" s="30">
        <f>B68+B70+B71</f>
        <v>3753.8</v>
      </c>
      <c r="C194" s="30">
        <f t="shared" ref="C194:I194" si="184">C68+C70+C71</f>
        <v>4581.45</v>
      </c>
      <c r="D194" s="30">
        <f t="shared" si="184"/>
        <v>4689.67</v>
      </c>
      <c r="E194" s="30">
        <f t="shared" si="184"/>
        <v>4838.2</v>
      </c>
      <c r="F194" s="30">
        <f t="shared" si="184"/>
        <v>6137.24</v>
      </c>
      <c r="G194" s="30">
        <f t="shared" si="184"/>
        <v>5876.0099999999993</v>
      </c>
      <c r="H194" s="30">
        <f t="shared" si="184"/>
        <v>5595.3</v>
      </c>
      <c r="I194" s="30">
        <f t="shared" si="184"/>
        <v>5389.78</v>
      </c>
      <c r="J194" s="30">
        <f>J68+J70+J71</f>
        <v>5426.0599999999995</v>
      </c>
    </row>
    <row r="195" spans="1:16" x14ac:dyDescent="0.25">
      <c r="A195" s="5" t="s">
        <v>88</v>
      </c>
      <c r="B195" s="30">
        <f>B69+B72</f>
        <v>435.95</v>
      </c>
      <c r="C195" s="30">
        <f t="shared" ref="C195:J195" si="185">C69+C72</f>
        <v>279.19</v>
      </c>
      <c r="D195" s="30">
        <f t="shared" si="185"/>
        <v>283.26</v>
      </c>
      <c r="E195" s="30">
        <f t="shared" si="185"/>
        <v>322.24</v>
      </c>
      <c r="F195" s="30">
        <f t="shared" si="185"/>
        <v>321.11</v>
      </c>
      <c r="G195" s="30">
        <f t="shared" si="185"/>
        <v>548.99</v>
      </c>
      <c r="H195" s="30">
        <f t="shared" si="185"/>
        <v>669.38</v>
      </c>
      <c r="I195" s="30">
        <f t="shared" si="185"/>
        <v>835.43000000000006</v>
      </c>
      <c r="J195" s="30">
        <f t="shared" si="185"/>
        <v>888.48</v>
      </c>
    </row>
    <row r="196" spans="1:16" s="34" customFormat="1" x14ac:dyDescent="0.25">
      <c r="A196" s="19" t="s">
        <v>38</v>
      </c>
      <c r="B196" s="40">
        <f>B194+B195</f>
        <v>4189.75</v>
      </c>
      <c r="C196" s="40">
        <f t="shared" ref="C196:J196" si="186">C194+C195</f>
        <v>4860.6399999999994</v>
      </c>
      <c r="D196" s="40">
        <f t="shared" si="186"/>
        <v>4972.93</v>
      </c>
      <c r="E196" s="40">
        <f t="shared" si="186"/>
        <v>5160.4399999999996</v>
      </c>
      <c r="F196" s="40">
        <f t="shared" si="186"/>
        <v>6458.3499999999995</v>
      </c>
      <c r="G196" s="40">
        <f t="shared" si="186"/>
        <v>6424.9999999999991</v>
      </c>
      <c r="H196" s="40">
        <f t="shared" si="186"/>
        <v>6264.68</v>
      </c>
      <c r="I196" s="40">
        <f t="shared" si="186"/>
        <v>6225.21</v>
      </c>
      <c r="J196" s="40">
        <f t="shared" si="186"/>
        <v>6314.5399999999991</v>
      </c>
      <c r="K196" s="43">
        <f>(K198*K93)/10^6</f>
        <v>7191.5845021428568</v>
      </c>
      <c r="L196" s="43">
        <f t="shared" ref="L196:P196" si="187">(L198*L93)/10^6</f>
        <v>7461.7340544999988</v>
      </c>
      <c r="M196" s="43">
        <f t="shared" si="187"/>
        <v>7758.8985620928561</v>
      </c>
      <c r="N196" s="43">
        <f t="shared" si="187"/>
        <v>8085.7795204449994</v>
      </c>
      <c r="O196" s="43">
        <f t="shared" si="187"/>
        <v>8445.3485746323568</v>
      </c>
      <c r="P196" s="43">
        <f t="shared" si="187"/>
        <v>8840.87453423845</v>
      </c>
    </row>
    <row r="197" spans="1:16" x14ac:dyDescent="0.25">
      <c r="A197" s="5"/>
      <c r="J197" s="6"/>
    </row>
    <row r="198" spans="1:16" s="34" customFormat="1" x14ac:dyDescent="0.25">
      <c r="A198" s="19" t="s">
        <v>89</v>
      </c>
      <c r="B198" s="42">
        <f>(B196/B93)*10^6</f>
        <v>619.51240429514803</v>
      </c>
      <c r="C198" s="42">
        <f t="shared" ref="C198:J198" si="188">(C196/C93)*10^6</f>
        <v>674.39922201781701</v>
      </c>
      <c r="D198" s="42">
        <f t="shared" si="188"/>
        <v>655.44283543316124</v>
      </c>
      <c r="E198" s="42">
        <f t="shared" si="188"/>
        <v>659.83995130898654</v>
      </c>
      <c r="F198" s="42">
        <f t="shared" si="188"/>
        <v>1009.1171874999998</v>
      </c>
      <c r="G198" s="42">
        <f t="shared" si="188"/>
        <v>1107.7586206896549</v>
      </c>
      <c r="H198" s="42">
        <f t="shared" si="188"/>
        <v>1278.5061224489796</v>
      </c>
      <c r="I198" s="42">
        <f t="shared" si="188"/>
        <v>1174.5679245283018</v>
      </c>
      <c r="J198" s="42">
        <f t="shared" si="188"/>
        <v>1127.5964285714283</v>
      </c>
      <c r="K198" s="44">
        <f>J198*110%</f>
        <v>1240.3560714285713</v>
      </c>
      <c r="L198" s="44">
        <v>1240.3560714285713</v>
      </c>
      <c r="M198" s="44">
        <v>1240.3560714285713</v>
      </c>
      <c r="N198" s="44">
        <v>1240.3560714285713</v>
      </c>
      <c r="O198" s="44">
        <v>1240.3560714285713</v>
      </c>
      <c r="P198" s="44">
        <v>1240.3560714285713</v>
      </c>
    </row>
    <row r="199" spans="1:16" x14ac:dyDescent="0.25">
      <c r="A199" s="5"/>
      <c r="J199" s="6"/>
    </row>
    <row r="200" spans="1:16" x14ac:dyDescent="0.25">
      <c r="A200" s="5" t="s">
        <v>90</v>
      </c>
      <c r="J200" s="6"/>
      <c r="K200" s="28">
        <f>(K198*K94)/10^6</f>
        <v>245.59050214285716</v>
      </c>
      <c r="L200" s="28">
        <f t="shared" ref="L200:P200" si="189">(L198*L94)/10^6</f>
        <v>270.14955235714291</v>
      </c>
      <c r="M200" s="28">
        <f t="shared" si="189"/>
        <v>297.16450759285726</v>
      </c>
      <c r="N200" s="28">
        <f t="shared" si="189"/>
        <v>326.88095835214301</v>
      </c>
      <c r="O200" s="28">
        <f t="shared" si="189"/>
        <v>359.56905418735732</v>
      </c>
      <c r="P200" s="28">
        <f t="shared" si="189"/>
        <v>395.52595960609312</v>
      </c>
    </row>
    <row r="201" spans="1:16" x14ac:dyDescent="0.25">
      <c r="A201" s="5" t="s">
        <v>91</v>
      </c>
      <c r="J201" s="6"/>
      <c r="K201" s="30">
        <f>J204</f>
        <v>711.41</v>
      </c>
      <c r="L201" s="30">
        <f t="shared" ref="L201:P201" si="190">K204</f>
        <v>862.9901402571428</v>
      </c>
      <c r="M201" s="30">
        <f t="shared" si="190"/>
        <v>895.40808653999977</v>
      </c>
      <c r="N201" s="30">
        <f t="shared" si="190"/>
        <v>931.06782745114265</v>
      </c>
      <c r="O201" s="30">
        <f t="shared" si="190"/>
        <v>970.29354245339994</v>
      </c>
      <c r="P201" s="30">
        <f t="shared" si="190"/>
        <v>1013.4418289558828</v>
      </c>
    </row>
    <row r="202" spans="1:16" x14ac:dyDescent="0.25">
      <c r="A202" s="5" t="s">
        <v>92</v>
      </c>
      <c r="J202" s="6"/>
      <c r="K202" s="28">
        <f>K200+K201</f>
        <v>957.00050214285716</v>
      </c>
      <c r="L202" s="28">
        <f t="shared" ref="L202:P202" si="191">L200+L201</f>
        <v>1133.1396926142857</v>
      </c>
      <c r="M202" s="28">
        <f t="shared" si="191"/>
        <v>1192.5725941328569</v>
      </c>
      <c r="N202" s="28">
        <f t="shared" si="191"/>
        <v>1257.9487858032858</v>
      </c>
      <c r="O202" s="28">
        <f t="shared" si="191"/>
        <v>1329.8625966407571</v>
      </c>
      <c r="P202" s="28">
        <f t="shared" si="191"/>
        <v>1408.9677885619758</v>
      </c>
    </row>
    <row r="203" spans="1:16" x14ac:dyDescent="0.25">
      <c r="A203" s="5"/>
      <c r="J203" s="6"/>
    </row>
    <row r="204" spans="1:16" x14ac:dyDescent="0.25">
      <c r="A204" s="5" t="s">
        <v>93</v>
      </c>
      <c r="B204" s="30">
        <f>B20</f>
        <v>437.64</v>
      </c>
      <c r="C204" s="30">
        <f t="shared" ref="C204:J204" si="192">C20</f>
        <v>492.73</v>
      </c>
      <c r="D204" s="30">
        <f t="shared" si="192"/>
        <v>574.98</v>
      </c>
      <c r="E204" s="30">
        <f t="shared" si="192"/>
        <v>624.44000000000005</v>
      </c>
      <c r="F204" s="30">
        <f t="shared" si="192"/>
        <v>845.76</v>
      </c>
      <c r="G204" s="30">
        <f t="shared" si="192"/>
        <v>715.12</v>
      </c>
      <c r="H204" s="30">
        <f t="shared" si="192"/>
        <v>689.52</v>
      </c>
      <c r="I204" s="30">
        <f t="shared" si="192"/>
        <v>697.39</v>
      </c>
      <c r="J204" s="30">
        <f t="shared" si="192"/>
        <v>711.41</v>
      </c>
      <c r="K204" s="30">
        <f>K196*K205</f>
        <v>862.9901402571428</v>
      </c>
      <c r="L204" s="30">
        <f t="shared" ref="L204:P204" si="193">L196*L205</f>
        <v>895.40808653999977</v>
      </c>
      <c r="M204" s="30">
        <f t="shared" si="193"/>
        <v>931.06782745114265</v>
      </c>
      <c r="N204" s="30">
        <f t="shared" si="193"/>
        <v>970.29354245339994</v>
      </c>
      <c r="O204" s="30">
        <f t="shared" si="193"/>
        <v>1013.4418289558828</v>
      </c>
      <c r="P204" s="30">
        <f t="shared" si="193"/>
        <v>1060.904944108614</v>
      </c>
    </row>
    <row r="205" spans="1:16" s="34" customFormat="1" x14ac:dyDescent="0.25">
      <c r="A205" s="19" t="s">
        <v>94</v>
      </c>
      <c r="B205" s="41">
        <f>B204/B196</f>
        <v>0.10445491974461484</v>
      </c>
      <c r="C205" s="41">
        <f t="shared" ref="C205:J205" si="194">C204/C196</f>
        <v>0.10137142433918168</v>
      </c>
      <c r="D205" s="41">
        <f t="shared" si="194"/>
        <v>0.11562197738556544</v>
      </c>
      <c r="E205" s="41">
        <f t="shared" si="194"/>
        <v>0.12100518560432834</v>
      </c>
      <c r="F205" s="41">
        <f t="shared" si="194"/>
        <v>0.13095604914567963</v>
      </c>
      <c r="G205" s="41">
        <f t="shared" si="194"/>
        <v>0.11130272373540857</v>
      </c>
      <c r="H205" s="41">
        <f t="shared" si="194"/>
        <v>0.11006468007942943</v>
      </c>
      <c r="I205" s="41">
        <f t="shared" si="194"/>
        <v>0.1120267428729312</v>
      </c>
      <c r="J205" s="41">
        <f t="shared" si="194"/>
        <v>0.11266220500622375</v>
      </c>
      <c r="K205" s="53">
        <v>0.12</v>
      </c>
      <c r="L205" s="53">
        <v>0.12</v>
      </c>
      <c r="M205" s="53">
        <v>0.12</v>
      </c>
      <c r="N205" s="53">
        <v>0.12</v>
      </c>
      <c r="O205" s="53">
        <v>0.12</v>
      </c>
      <c r="P205" s="53">
        <v>0.12</v>
      </c>
    </row>
    <row r="206" spans="1:16" x14ac:dyDescent="0.25">
      <c r="A206" s="1"/>
      <c r="J206" s="6"/>
    </row>
    <row r="207" spans="1:16" x14ac:dyDescent="0.25">
      <c r="A207" s="1"/>
      <c r="J207" s="6"/>
    </row>
    <row r="208" spans="1:16" x14ac:dyDescent="0.25">
      <c r="A208" s="1"/>
      <c r="J208" s="6"/>
    </row>
    <row r="209" spans="1:10" x14ac:dyDescent="0.25">
      <c r="A209" s="1"/>
      <c r="J209" s="6"/>
    </row>
    <row r="210" spans="1:10" x14ac:dyDescent="0.25">
      <c r="A210" s="1"/>
      <c r="J210" s="6"/>
    </row>
    <row r="211" spans="1:10" x14ac:dyDescent="0.25">
      <c r="A211" s="1"/>
      <c r="J211" s="6"/>
    </row>
    <row r="212" spans="1:10" x14ac:dyDescent="0.25">
      <c r="A212" s="1"/>
      <c r="J212" s="6"/>
    </row>
    <row r="213" spans="1:10" x14ac:dyDescent="0.25">
      <c r="A213" s="1"/>
      <c r="J213" s="6"/>
    </row>
    <row r="214" spans="1:10" x14ac:dyDescent="0.25">
      <c r="A214" s="1"/>
      <c r="J214" s="6"/>
    </row>
    <row r="215" spans="1:10" x14ac:dyDescent="0.25">
      <c r="A215" s="1"/>
      <c r="J215" s="6"/>
    </row>
    <row r="216" spans="1:10" x14ac:dyDescent="0.25">
      <c r="A216" s="1"/>
      <c r="J216" s="6"/>
    </row>
    <row r="217" spans="1:10" x14ac:dyDescent="0.25">
      <c r="A217" s="1"/>
      <c r="J217" s="6"/>
    </row>
    <row r="218" spans="1:10" x14ac:dyDescent="0.25">
      <c r="A218" s="1"/>
      <c r="J218" s="6"/>
    </row>
    <row r="219" spans="1:10" x14ac:dyDescent="0.25">
      <c r="A219" s="1"/>
      <c r="J219" s="6"/>
    </row>
    <row r="220" spans="1:10" x14ac:dyDescent="0.25">
      <c r="A220" s="1"/>
      <c r="J220" s="6"/>
    </row>
    <row r="221" spans="1:10" x14ac:dyDescent="0.25">
      <c r="A221" s="1"/>
      <c r="J221" s="6"/>
    </row>
    <row r="222" spans="1:10" x14ac:dyDescent="0.25">
      <c r="A222" s="1"/>
      <c r="J222" s="6"/>
    </row>
    <row r="223" spans="1:10" x14ac:dyDescent="0.25">
      <c r="A223" s="1"/>
      <c r="J223" s="6"/>
    </row>
    <row r="224" spans="1:10" x14ac:dyDescent="0.25">
      <c r="A224" s="1"/>
      <c r="J224" s="6"/>
    </row>
    <row r="225" spans="1:10" x14ac:dyDescent="0.25">
      <c r="A225" s="1"/>
      <c r="J225" s="6"/>
    </row>
    <row r="226" spans="1:10" x14ac:dyDescent="0.25">
      <c r="A226" s="1"/>
      <c r="J226" s="6"/>
    </row>
    <row r="227" spans="1:10" x14ac:dyDescent="0.25">
      <c r="A227" s="1"/>
      <c r="J227" s="6"/>
    </row>
    <row r="228" spans="1:10" x14ac:dyDescent="0.25">
      <c r="A228" s="1"/>
      <c r="J228" s="6"/>
    </row>
    <row r="229" spans="1:10" x14ac:dyDescent="0.25">
      <c r="A229" s="1"/>
      <c r="J229" s="6"/>
    </row>
    <row r="230" spans="1:10" x14ac:dyDescent="0.25">
      <c r="A230" s="1"/>
      <c r="J230" s="6"/>
    </row>
    <row r="231" spans="1:10" x14ac:dyDescent="0.25">
      <c r="A231" s="1"/>
      <c r="J231" s="6"/>
    </row>
    <row r="232" spans="1:10" x14ac:dyDescent="0.25">
      <c r="A232" s="1"/>
      <c r="J232" s="6"/>
    </row>
    <row r="233" spans="1:10" x14ac:dyDescent="0.25">
      <c r="A233" s="1"/>
      <c r="J233" s="6"/>
    </row>
    <row r="234" spans="1:10" x14ac:dyDescent="0.25">
      <c r="A234" s="1"/>
      <c r="J234" s="6"/>
    </row>
    <row r="235" spans="1:10" x14ac:dyDescent="0.25">
      <c r="A235" s="1"/>
      <c r="J235" s="6"/>
    </row>
    <row r="236" spans="1:10" x14ac:dyDescent="0.25">
      <c r="A236" s="1"/>
      <c r="J236" s="6"/>
    </row>
    <row r="237" spans="1:10" x14ac:dyDescent="0.25">
      <c r="A237" s="1"/>
      <c r="J237" s="6"/>
    </row>
    <row r="238" spans="1:10" x14ac:dyDescent="0.25">
      <c r="A238" s="1"/>
      <c r="J238" s="6"/>
    </row>
    <row r="239" spans="1:10" x14ac:dyDescent="0.25">
      <c r="A239" s="1"/>
      <c r="J239" s="6"/>
    </row>
    <row r="240" spans="1:10" x14ac:dyDescent="0.25">
      <c r="A240" s="1"/>
      <c r="J240" s="6"/>
    </row>
    <row r="241" spans="1:10" x14ac:dyDescent="0.25">
      <c r="A241" s="1"/>
      <c r="J241" s="6"/>
    </row>
    <row r="242" spans="1:10" x14ac:dyDescent="0.25">
      <c r="A242" s="1"/>
      <c r="J242" s="6"/>
    </row>
    <row r="243" spans="1:10" x14ac:dyDescent="0.25">
      <c r="A243" s="1"/>
      <c r="J243" s="6"/>
    </row>
    <row r="244" spans="1:10" x14ac:dyDescent="0.25">
      <c r="A244" s="1"/>
      <c r="J244" s="6"/>
    </row>
    <row r="245" spans="1:10" x14ac:dyDescent="0.25">
      <c r="A245" s="1"/>
      <c r="J245" s="6"/>
    </row>
    <row r="246" spans="1:10" x14ac:dyDescent="0.25">
      <c r="A246" s="1"/>
      <c r="J246" s="6"/>
    </row>
    <row r="247" spans="1:10" x14ac:dyDescent="0.25">
      <c r="A247" s="1"/>
      <c r="J247" s="6"/>
    </row>
    <row r="248" spans="1:10" x14ac:dyDescent="0.25">
      <c r="A248" s="1"/>
      <c r="J248" s="6"/>
    </row>
    <row r="249" spans="1:10" x14ac:dyDescent="0.25">
      <c r="A249" s="1"/>
      <c r="J249" s="6"/>
    </row>
    <row r="250" spans="1:10" x14ac:dyDescent="0.25">
      <c r="A250" s="1"/>
      <c r="J250" s="6"/>
    </row>
    <row r="251" spans="1:10" x14ac:dyDescent="0.25">
      <c r="A251" s="1"/>
      <c r="J251" s="6"/>
    </row>
    <row r="252" spans="1:10" x14ac:dyDescent="0.25">
      <c r="A252" s="1"/>
      <c r="J252" s="6"/>
    </row>
    <row r="253" spans="1:10" x14ac:dyDescent="0.25">
      <c r="A253" s="1"/>
      <c r="J253" s="6"/>
    </row>
    <row r="254" spans="1:10" x14ac:dyDescent="0.25">
      <c r="A254" s="1"/>
      <c r="J254" s="6"/>
    </row>
    <row r="255" spans="1:10" x14ac:dyDescent="0.25">
      <c r="A255" s="1"/>
      <c r="J255" s="6"/>
    </row>
    <row r="256" spans="1:10" x14ac:dyDescent="0.25">
      <c r="A256" s="1"/>
      <c r="J256" s="6"/>
    </row>
    <row r="257" spans="1:10" x14ac:dyDescent="0.25">
      <c r="A257" s="1"/>
      <c r="J257" s="6"/>
    </row>
    <row r="258" spans="1:10" x14ac:dyDescent="0.25">
      <c r="A258" s="1"/>
    </row>
    <row r="259" spans="1:10" x14ac:dyDescent="0.25">
      <c r="A259" s="1"/>
    </row>
    <row r="260" spans="1:10" x14ac:dyDescent="0.25">
      <c r="A260" s="1"/>
    </row>
    <row r="261" spans="1:10" x14ac:dyDescent="0.25">
      <c r="A261" s="1"/>
    </row>
    <row r="262" spans="1:10" x14ac:dyDescent="0.25">
      <c r="A262" s="1"/>
    </row>
    <row r="263" spans="1:10" x14ac:dyDescent="0.25">
      <c r="A263" s="1"/>
    </row>
    <row r="264" spans="1:10" x14ac:dyDescent="0.25">
      <c r="A264" s="1"/>
    </row>
    <row r="265" spans="1:10" x14ac:dyDescent="0.25">
      <c r="A265" s="1"/>
    </row>
    <row r="266" spans="1:10" x14ac:dyDescent="0.25">
      <c r="A266" s="1"/>
    </row>
    <row r="267" spans="1:10" x14ac:dyDescent="0.25">
      <c r="A267" s="1"/>
    </row>
    <row r="268" spans="1:10" x14ac:dyDescent="0.25">
      <c r="A268" s="1"/>
    </row>
    <row r="269" spans="1:10" x14ac:dyDescent="0.25">
      <c r="A269" s="1"/>
    </row>
    <row r="270" spans="1:10" x14ac:dyDescent="0.25">
      <c r="A270" s="1"/>
    </row>
    <row r="271" spans="1:10" x14ac:dyDescent="0.25">
      <c r="A271" s="1"/>
    </row>
    <row r="272" spans="1:10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K26"/>
  <sheetViews>
    <sheetView workbookViewId="0">
      <selection activeCell="B32" sqref="B32"/>
    </sheetView>
  </sheetViews>
  <sheetFormatPr defaultColWidth="12.6640625" defaultRowHeight="15.75" customHeight="1" x14ac:dyDescent="0.25"/>
  <cols>
    <col min="2" max="2" width="42" bestFit="1" customWidth="1"/>
    <col min="3" max="11" width="12.5546875" customWidth="1"/>
  </cols>
  <sheetData>
    <row r="1" spans="2:11" ht="15.75" customHeight="1" x14ac:dyDescent="0.25">
      <c r="B1" s="26" t="s">
        <v>95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</row>
    <row r="2" spans="2:11" ht="15.75" customHeight="1" x14ac:dyDescent="0.25">
      <c r="B2" s="26"/>
    </row>
    <row r="3" spans="2:11" ht="15.75" customHeight="1" x14ac:dyDescent="0.25">
      <c r="B3" t="str">
        <f>Model!A27</f>
        <v>Other/Exceptional Items</v>
      </c>
      <c r="C3">
        <v>0</v>
      </c>
      <c r="D3" s="27">
        <v>50</v>
      </c>
      <c r="E3" s="27">
        <f>D3+(D3*10%)</f>
        <v>55</v>
      </c>
      <c r="F3" s="27">
        <f t="shared" ref="F3:J3" si="0">E3+(E3*10%)</f>
        <v>60.5</v>
      </c>
      <c r="G3" s="27">
        <f t="shared" si="0"/>
        <v>66.55</v>
      </c>
      <c r="H3" s="27">
        <f t="shared" si="0"/>
        <v>73.204999999999998</v>
      </c>
      <c r="I3" s="27">
        <f t="shared" si="0"/>
        <v>80.525499999999994</v>
      </c>
      <c r="J3" s="27">
        <f t="shared" si="0"/>
        <v>88.57804999999999</v>
      </c>
    </row>
    <row r="5" spans="2:11" ht="15.75" customHeight="1" x14ac:dyDescent="0.25">
      <c r="B5" s="34" t="s">
        <v>95</v>
      </c>
      <c r="C5" s="34">
        <v>2025</v>
      </c>
      <c r="D5" s="34">
        <v>2026</v>
      </c>
      <c r="E5" s="34">
        <v>2027</v>
      </c>
      <c r="F5" s="34">
        <v>2028</v>
      </c>
      <c r="G5" s="34">
        <v>2029</v>
      </c>
      <c r="H5" s="34">
        <v>2030</v>
      </c>
    </row>
    <row r="6" spans="2:11" ht="15.75" customHeight="1" x14ac:dyDescent="0.25">
      <c r="B6" s="26" t="s">
        <v>96</v>
      </c>
      <c r="C6" s="30">
        <f>Model!K94</f>
        <v>198000.00000000003</v>
      </c>
      <c r="D6" s="30">
        <f>Model!L94</f>
        <v>217800.00000000006</v>
      </c>
      <c r="E6" s="30">
        <f>Model!M94</f>
        <v>239580.00000000009</v>
      </c>
      <c r="F6" s="30">
        <f>Model!N94</f>
        <v>263538.00000000012</v>
      </c>
      <c r="G6" s="30">
        <f>Model!O94</f>
        <v>289891.80000000016</v>
      </c>
      <c r="H6" s="30">
        <f>Model!P94</f>
        <v>318880.98000000021</v>
      </c>
    </row>
    <row r="7" spans="2:11" ht="15.75" customHeight="1" x14ac:dyDescent="0.25">
      <c r="B7" s="26" t="s">
        <v>97</v>
      </c>
      <c r="C7" s="28">
        <f>Model!K198</f>
        <v>1240.3560714285713</v>
      </c>
      <c r="D7" s="28">
        <f>Model!L198</f>
        <v>1240.3560714285713</v>
      </c>
      <c r="E7" s="28">
        <f>Model!M198</f>
        <v>1240.3560714285713</v>
      </c>
      <c r="F7" s="28">
        <f>Model!N198</f>
        <v>1240.3560714285713</v>
      </c>
      <c r="G7" s="28">
        <f>Model!O198</f>
        <v>1240.3560714285713</v>
      </c>
      <c r="H7" s="28">
        <f>Model!P198</f>
        <v>1240.3560714285713</v>
      </c>
    </row>
    <row r="8" spans="2:11" ht="15.75" customHeight="1" x14ac:dyDescent="0.25">
      <c r="B8" s="26" t="s">
        <v>98</v>
      </c>
      <c r="C8" s="37">
        <v>0.08</v>
      </c>
      <c r="D8" s="37">
        <v>0.08</v>
      </c>
      <c r="E8" s="37">
        <v>0.08</v>
      </c>
      <c r="F8" s="37">
        <v>0.08</v>
      </c>
      <c r="G8" s="37">
        <v>0.08</v>
      </c>
      <c r="H8" s="37">
        <v>0.08</v>
      </c>
    </row>
    <row r="9" spans="2:11" ht="15.75" customHeight="1" x14ac:dyDescent="0.25">
      <c r="B9" t="s">
        <v>71</v>
      </c>
      <c r="C9" s="45">
        <v>0.05</v>
      </c>
      <c r="D9" s="45">
        <v>0.05</v>
      </c>
      <c r="E9" s="45">
        <v>0.05</v>
      </c>
      <c r="F9" s="45">
        <v>0.05</v>
      </c>
      <c r="G9" s="45">
        <v>0.05</v>
      </c>
      <c r="H9" s="45">
        <v>0.05</v>
      </c>
    </row>
    <row r="10" spans="2:11" ht="15.75" customHeight="1" x14ac:dyDescent="0.25">
      <c r="B10" s="26" t="s">
        <v>99</v>
      </c>
      <c r="C10" s="46">
        <f>Model!K116</f>
        <v>0.3</v>
      </c>
      <c r="D10" s="46">
        <f>Model!L116</f>
        <v>0.3</v>
      </c>
      <c r="E10" s="46">
        <f>Model!M116</f>
        <v>0.3</v>
      </c>
      <c r="F10" s="46">
        <f>Model!N116</f>
        <v>0.3</v>
      </c>
      <c r="G10" s="46">
        <f>Model!O116</f>
        <v>0.3</v>
      </c>
      <c r="H10" s="46">
        <f>Model!P116</f>
        <v>0.3</v>
      </c>
    </row>
    <row r="11" spans="2:11" ht="15.75" customHeight="1" x14ac:dyDescent="0.25">
      <c r="B11" s="26" t="s">
        <v>100</v>
      </c>
      <c r="C11" s="46">
        <f>Model!K120</f>
        <v>0.12</v>
      </c>
      <c r="D11" s="46">
        <f>Model!L120</f>
        <v>0.12</v>
      </c>
      <c r="E11" s="46">
        <f>Model!M120</f>
        <v>0.12</v>
      </c>
      <c r="F11" s="46">
        <f>Model!N120</f>
        <v>0.12</v>
      </c>
      <c r="G11" s="46">
        <f>Model!O120</f>
        <v>0.12</v>
      </c>
      <c r="H11" s="46">
        <f>Model!P120</f>
        <v>0.12</v>
      </c>
    </row>
    <row r="12" spans="2:11" ht="15.75" customHeight="1" x14ac:dyDescent="0.25">
      <c r="B12" s="1" t="s">
        <v>5</v>
      </c>
      <c r="C12" s="38">
        <v>0.67447132774379981</v>
      </c>
      <c r="D12" s="38">
        <v>0.68796075429867576</v>
      </c>
      <c r="E12" s="38">
        <v>0.70171996938464931</v>
      </c>
      <c r="F12" s="38">
        <v>0.71575436877234233</v>
      </c>
      <c r="G12" s="38">
        <v>0.73006945614778918</v>
      </c>
      <c r="H12" s="38">
        <v>0.74467084527074501</v>
      </c>
    </row>
    <row r="13" spans="2:11" ht="15.75" customHeight="1" x14ac:dyDescent="0.25">
      <c r="B13" s="1" t="s">
        <v>6</v>
      </c>
      <c r="C13" s="38">
        <v>1.318580980421682E-2</v>
      </c>
      <c r="D13" s="38">
        <v>1.3449526000301157E-2</v>
      </c>
      <c r="E13" s="38">
        <v>1.3718516520307179E-2</v>
      </c>
      <c r="F13" s="38">
        <v>1.3992886850713322E-2</v>
      </c>
      <c r="G13" s="38">
        <v>1.4272744587727589E-2</v>
      </c>
      <c r="H13" s="38">
        <v>1.4558199479482141E-2</v>
      </c>
    </row>
    <row r="14" spans="2:11" ht="15.75" customHeight="1" x14ac:dyDescent="0.25">
      <c r="B14" s="1" t="s">
        <v>7</v>
      </c>
      <c r="C14" s="38">
        <v>4.8775514127081254E-3</v>
      </c>
      <c r="D14" s="38">
        <v>4.9751024409622879E-3</v>
      </c>
      <c r="E14" s="38">
        <v>5.0746044897815338E-3</v>
      </c>
      <c r="F14" s="38">
        <v>5.1760965795771647E-3</v>
      </c>
      <c r="G14" s="38">
        <v>5.2796185111687079E-3</v>
      </c>
      <c r="H14" s="38">
        <v>5.3852108813920822E-3</v>
      </c>
    </row>
    <row r="15" spans="2:11" ht="15.75" customHeight="1" x14ac:dyDescent="0.25">
      <c r="B15" s="1" t="s">
        <v>8</v>
      </c>
      <c r="C15" s="38">
        <v>6.5420896995171895E-2</v>
      </c>
      <c r="D15" s="38">
        <v>6.6729314935075335E-2</v>
      </c>
      <c r="E15" s="38">
        <v>6.8063901233776841E-2</v>
      </c>
      <c r="F15" s="38">
        <v>6.9425179258452374E-2</v>
      </c>
      <c r="G15" s="38">
        <v>7.0813682843621426E-2</v>
      </c>
      <c r="H15" s="38">
        <v>7.2229956500493853E-2</v>
      </c>
    </row>
    <row r="16" spans="2:11" ht="15.75" customHeight="1" x14ac:dyDescent="0.25">
      <c r="B16" s="1" t="s">
        <v>9</v>
      </c>
      <c r="C16" s="38">
        <v>0.11892010085508968</v>
      </c>
      <c r="D16" s="38">
        <v>0.12129850287219147</v>
      </c>
      <c r="E16" s="38">
        <v>0.1237244729296353</v>
      </c>
      <c r="F16" s="38">
        <v>0.126198962388228</v>
      </c>
      <c r="G16" s="38">
        <v>0.12872294163599257</v>
      </c>
      <c r="H16" s="38">
        <v>0.13129740046871241</v>
      </c>
    </row>
    <row r="17" spans="2:8" ht="15.75" customHeight="1" x14ac:dyDescent="0.25">
      <c r="B17" s="1" t="s">
        <v>77</v>
      </c>
      <c r="C17" s="38">
        <v>8.6870576777058338E-5</v>
      </c>
      <c r="D17" s="38">
        <v>8.8607988312599511E-5</v>
      </c>
      <c r="E17" s="38">
        <v>9.0380148078851507E-5</v>
      </c>
      <c r="F17" s="38">
        <v>9.2187751040428542E-5</v>
      </c>
      <c r="G17" s="38">
        <v>9.4031506061237113E-5</v>
      </c>
      <c r="H17" s="38">
        <v>9.5912136182461859E-5</v>
      </c>
    </row>
    <row r="18" spans="2:8" ht="15.75" customHeight="1" x14ac:dyDescent="0.25">
      <c r="B18" s="25" t="s">
        <v>101</v>
      </c>
      <c r="C18" s="30">
        <f>Model!K4</f>
        <v>910.40099999999995</v>
      </c>
      <c r="D18" s="30">
        <f>Model!L4</f>
        <v>928.60901999999999</v>
      </c>
      <c r="E18" s="30">
        <f>Model!M4</f>
        <v>947.18120039999997</v>
      </c>
      <c r="F18" s="30">
        <f>Model!N4</f>
        <v>966.12482440799999</v>
      </c>
      <c r="G18" s="30">
        <f>Model!O4</f>
        <v>985.44732089616002</v>
      </c>
      <c r="H18" s="30">
        <f>Model!P4</f>
        <v>1005.1562673140833</v>
      </c>
    </row>
    <row r="19" spans="2:8" ht="15.75" customHeight="1" x14ac:dyDescent="0.25">
      <c r="B19" s="25" t="s">
        <v>94</v>
      </c>
      <c r="C19" s="45">
        <f>Model!K205</f>
        <v>0.12</v>
      </c>
      <c r="D19" s="45">
        <f>Model!L205</f>
        <v>0.12</v>
      </c>
      <c r="E19" s="45">
        <f>Model!M205</f>
        <v>0.12</v>
      </c>
      <c r="F19" s="45">
        <f>Model!N205</f>
        <v>0.12</v>
      </c>
      <c r="G19" s="45">
        <f>Model!O205</f>
        <v>0.12</v>
      </c>
      <c r="H19" s="45">
        <f>Model!P205</f>
        <v>0.12</v>
      </c>
    </row>
    <row r="20" spans="2:8" ht="15.75" customHeight="1" x14ac:dyDescent="0.25">
      <c r="B20" s="25" t="s">
        <v>15</v>
      </c>
      <c r="C20" s="23">
        <f>Model!K24</f>
        <v>20</v>
      </c>
      <c r="D20" s="23">
        <f>Model!L24</f>
        <v>20</v>
      </c>
      <c r="E20" s="23">
        <f>Model!M24</f>
        <v>20</v>
      </c>
      <c r="F20" s="23">
        <f>Model!N24</f>
        <v>20</v>
      </c>
      <c r="G20" s="23">
        <f>Model!O24</f>
        <v>20</v>
      </c>
      <c r="H20" s="23">
        <f>Model!P24</f>
        <v>20</v>
      </c>
    </row>
    <row r="21" spans="2:8" ht="15.75" customHeight="1" x14ac:dyDescent="0.25">
      <c r="B21" s="25" t="s">
        <v>17</v>
      </c>
      <c r="C21">
        <f>Model!K27</f>
        <v>80</v>
      </c>
      <c r="D21">
        <f>Model!L27</f>
        <v>80</v>
      </c>
      <c r="E21">
        <f>Model!M27</f>
        <v>80</v>
      </c>
      <c r="F21">
        <f>Model!N27</f>
        <v>80</v>
      </c>
      <c r="G21">
        <f>Model!O27</f>
        <v>80</v>
      </c>
      <c r="H21">
        <f>Model!P27</f>
        <v>80</v>
      </c>
    </row>
    <row r="22" spans="2:8" ht="15.75" customHeight="1" x14ac:dyDescent="0.25">
      <c r="B22" s="25" t="s">
        <v>102</v>
      </c>
      <c r="C22" s="45">
        <v>0.3</v>
      </c>
      <c r="D22" s="45">
        <v>0.3</v>
      </c>
      <c r="E22" s="45">
        <v>0.3</v>
      </c>
      <c r="F22" s="45">
        <v>0.3</v>
      </c>
      <c r="G22" s="45">
        <v>0.3</v>
      </c>
      <c r="H22" s="45">
        <v>0.3</v>
      </c>
    </row>
    <row r="23" spans="2:8" ht="15.75" customHeight="1" x14ac:dyDescent="0.25">
      <c r="B23" s="25" t="s">
        <v>103</v>
      </c>
      <c r="C23" s="28">
        <f>Model!K43</f>
        <v>18305.124</v>
      </c>
      <c r="D23" s="28">
        <f>Model!L43</f>
        <v>18671.226480000001</v>
      </c>
      <c r="E23" s="28">
        <f>Model!M43</f>
        <v>19044.651009600002</v>
      </c>
      <c r="F23" s="28">
        <f>Model!N43</f>
        <v>19425.544029792003</v>
      </c>
      <c r="G23" s="28">
        <f>Model!O43</f>
        <v>19814.054910387844</v>
      </c>
      <c r="H23" s="28">
        <f>Model!P43</f>
        <v>20210.336008595601</v>
      </c>
    </row>
    <row r="24" spans="2:8" ht="15.75" customHeight="1" x14ac:dyDescent="0.25">
      <c r="B24" s="25" t="s">
        <v>104</v>
      </c>
      <c r="C24" s="23">
        <f>Model!K49</f>
        <v>1061.9322</v>
      </c>
      <c r="D24" s="23">
        <f>Model!L49</f>
        <v>1093.790166</v>
      </c>
      <c r="E24" s="23">
        <f>Model!M49</f>
        <v>1126.60387098</v>
      </c>
      <c r="F24" s="23">
        <f>Model!N49</f>
        <v>1160.4019871094001</v>
      </c>
      <c r="G24" s="23">
        <f>Model!O49</f>
        <v>1195.2140467226823</v>
      </c>
      <c r="H24" s="23">
        <f>Model!P49</f>
        <v>1231.0704681243628</v>
      </c>
    </row>
    <row r="25" spans="2:8" ht="15.75" customHeight="1" x14ac:dyDescent="0.25">
      <c r="B25" s="25" t="s">
        <v>105</v>
      </c>
      <c r="C25" s="30">
        <f>Model!K67</f>
        <v>13251.877999999999</v>
      </c>
      <c r="D25" s="30">
        <f>Model!L67</f>
        <v>11169.811000000002</v>
      </c>
      <c r="E25" s="30">
        <f>Model!M67</f>
        <v>9447.32654</v>
      </c>
      <c r="F25" s="30">
        <f>Model!N67</f>
        <v>8018.1911980000023</v>
      </c>
      <c r="G25" s="30">
        <f>Model!O67</f>
        <v>6828.8499278000018</v>
      </c>
      <c r="H25" s="30">
        <f>Model!P67</f>
        <v>5835.9472147000006</v>
      </c>
    </row>
    <row r="26" spans="2:8" ht="15.75" customHeight="1" x14ac:dyDescent="0.25">
      <c r="B26" s="25" t="s">
        <v>106</v>
      </c>
      <c r="C26" s="27">
        <f>Model!K84</f>
        <v>639.37649999999996</v>
      </c>
      <c r="D26" s="27">
        <f>Model!L84</f>
        <v>671.345325</v>
      </c>
      <c r="E26" s="27">
        <f>Model!M84</f>
        <v>704.91259124999999</v>
      </c>
      <c r="F26" s="27">
        <f>Model!N84</f>
        <v>740.15822081250008</v>
      </c>
      <c r="G26" s="27">
        <f>Model!O84</f>
        <v>777.16613185312508</v>
      </c>
      <c r="H26" s="27">
        <f>Model!P84</f>
        <v>816.02443844578136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D457-D2EE-471C-B3CB-CA6195AB94AD}">
  <dimension ref="D2:L28"/>
  <sheetViews>
    <sheetView tabSelected="1" workbookViewId="0">
      <selection activeCell="M14" sqref="M14"/>
    </sheetView>
  </sheetViews>
  <sheetFormatPr defaultRowHeight="13.2" x14ac:dyDescent="0.25"/>
  <cols>
    <col min="3" max="3" width="4" customWidth="1"/>
    <col min="12" max="12" width="37.21875" customWidth="1"/>
  </cols>
  <sheetData>
    <row r="2" spans="4:12" x14ac:dyDescent="0.25">
      <c r="D2" s="62" t="s">
        <v>107</v>
      </c>
      <c r="E2" s="63"/>
      <c r="F2" s="63"/>
      <c r="G2" s="63"/>
      <c r="H2" s="63"/>
      <c r="I2" s="63"/>
      <c r="J2" s="63"/>
      <c r="K2" s="63"/>
      <c r="L2" s="63"/>
    </row>
    <row r="3" spans="4:12" x14ac:dyDescent="0.25">
      <c r="D3" s="63"/>
      <c r="E3" s="63"/>
      <c r="F3" s="63"/>
      <c r="G3" s="63"/>
      <c r="H3" s="63"/>
      <c r="I3" s="63"/>
      <c r="J3" s="63"/>
      <c r="K3" s="63"/>
      <c r="L3" s="63"/>
    </row>
    <row r="4" spans="4:12" x14ac:dyDescent="0.25">
      <c r="D4" s="63"/>
      <c r="E4" s="63"/>
      <c r="F4" s="63"/>
      <c r="G4" s="63"/>
      <c r="H4" s="63"/>
      <c r="I4" s="63"/>
      <c r="J4" s="63"/>
      <c r="K4" s="63"/>
      <c r="L4" s="63"/>
    </row>
    <row r="5" spans="4:12" x14ac:dyDescent="0.25">
      <c r="D5" s="63"/>
      <c r="E5" s="63"/>
      <c r="F5" s="63"/>
      <c r="G5" s="63"/>
      <c r="H5" s="63"/>
      <c r="I5" s="63"/>
      <c r="J5" s="63"/>
      <c r="K5" s="63"/>
      <c r="L5" s="63"/>
    </row>
    <row r="6" spans="4:12" x14ac:dyDescent="0.25">
      <c r="D6" s="63"/>
      <c r="E6" s="63"/>
      <c r="F6" s="63"/>
      <c r="G6" s="63"/>
      <c r="H6" s="63"/>
      <c r="I6" s="63"/>
      <c r="J6" s="63"/>
      <c r="K6" s="63"/>
      <c r="L6" s="63"/>
    </row>
    <row r="7" spans="4:12" x14ac:dyDescent="0.25">
      <c r="D7" s="63"/>
      <c r="E7" s="63"/>
      <c r="F7" s="63"/>
      <c r="G7" s="63"/>
      <c r="H7" s="63"/>
      <c r="I7" s="63"/>
      <c r="J7" s="63"/>
      <c r="K7" s="63"/>
      <c r="L7" s="63"/>
    </row>
    <row r="8" spans="4:12" x14ac:dyDescent="0.25">
      <c r="D8" s="63"/>
      <c r="E8" s="63"/>
      <c r="F8" s="63"/>
      <c r="G8" s="63"/>
      <c r="H8" s="63"/>
      <c r="I8" s="63"/>
      <c r="J8" s="63"/>
      <c r="K8" s="63"/>
      <c r="L8" s="63"/>
    </row>
    <row r="9" spans="4:12" x14ac:dyDescent="0.25">
      <c r="D9" s="63"/>
      <c r="E9" s="63"/>
      <c r="F9" s="63"/>
      <c r="G9" s="63"/>
      <c r="H9" s="63"/>
      <c r="I9" s="63"/>
      <c r="J9" s="63"/>
      <c r="K9" s="63"/>
      <c r="L9" s="63"/>
    </row>
    <row r="10" spans="4:12" x14ac:dyDescent="0.25">
      <c r="D10" s="63"/>
      <c r="E10" s="63"/>
      <c r="F10" s="63"/>
      <c r="G10" s="63"/>
      <c r="H10" s="63"/>
      <c r="I10" s="63"/>
      <c r="J10" s="63"/>
      <c r="K10" s="63"/>
      <c r="L10" s="63"/>
    </row>
    <row r="11" spans="4:12" x14ac:dyDescent="0.25">
      <c r="D11" s="63"/>
      <c r="E11" s="63"/>
      <c r="F11" s="63"/>
      <c r="G11" s="63"/>
      <c r="H11" s="63"/>
      <c r="I11" s="63"/>
      <c r="J11" s="63"/>
      <c r="K11" s="63"/>
      <c r="L11" s="63"/>
    </row>
    <row r="12" spans="4:12" x14ac:dyDescent="0.25">
      <c r="D12" s="63"/>
      <c r="E12" s="63"/>
      <c r="F12" s="63"/>
      <c r="G12" s="63"/>
      <c r="H12" s="63"/>
      <c r="I12" s="63"/>
      <c r="J12" s="63"/>
      <c r="K12" s="63"/>
      <c r="L12" s="63"/>
    </row>
    <row r="13" spans="4:12" x14ac:dyDescent="0.25">
      <c r="D13" s="63"/>
      <c r="E13" s="63"/>
      <c r="F13" s="63"/>
      <c r="G13" s="63"/>
      <c r="H13" s="63"/>
      <c r="I13" s="63"/>
      <c r="J13" s="63"/>
      <c r="K13" s="63"/>
      <c r="L13" s="63"/>
    </row>
    <row r="14" spans="4:12" x14ac:dyDescent="0.25">
      <c r="D14" s="63"/>
      <c r="E14" s="63"/>
      <c r="F14" s="63"/>
      <c r="G14" s="63"/>
      <c r="H14" s="63"/>
      <c r="I14" s="63"/>
      <c r="J14" s="63"/>
      <c r="K14" s="63"/>
      <c r="L14" s="63"/>
    </row>
    <row r="15" spans="4:12" x14ac:dyDescent="0.25">
      <c r="D15" s="63"/>
      <c r="E15" s="63"/>
      <c r="F15" s="63"/>
      <c r="G15" s="63"/>
      <c r="H15" s="63"/>
      <c r="I15" s="63"/>
      <c r="J15" s="63"/>
      <c r="K15" s="63"/>
      <c r="L15" s="63"/>
    </row>
    <row r="16" spans="4:12" x14ac:dyDescent="0.25">
      <c r="D16" s="63"/>
      <c r="E16" s="63"/>
      <c r="F16" s="63"/>
      <c r="G16" s="63"/>
      <c r="H16" s="63"/>
      <c r="I16" s="63"/>
      <c r="J16" s="63"/>
      <c r="K16" s="63"/>
      <c r="L16" s="63"/>
    </row>
    <row r="17" spans="4:12" x14ac:dyDescent="0.25">
      <c r="D17" s="63"/>
      <c r="E17" s="63"/>
      <c r="F17" s="63"/>
      <c r="G17" s="63"/>
      <c r="H17" s="63"/>
      <c r="I17" s="63"/>
      <c r="J17" s="63"/>
      <c r="K17" s="63"/>
      <c r="L17" s="63"/>
    </row>
    <row r="18" spans="4:12" x14ac:dyDescent="0.25">
      <c r="D18" s="63"/>
      <c r="E18" s="63"/>
      <c r="F18" s="63"/>
      <c r="G18" s="63"/>
      <c r="H18" s="63"/>
      <c r="I18" s="63"/>
      <c r="J18" s="63"/>
      <c r="K18" s="63"/>
      <c r="L18" s="63"/>
    </row>
    <row r="19" spans="4:12" x14ac:dyDescent="0.25">
      <c r="D19" s="63"/>
      <c r="E19" s="63"/>
      <c r="F19" s="63"/>
      <c r="G19" s="63"/>
      <c r="H19" s="63"/>
      <c r="I19" s="63"/>
      <c r="J19" s="63"/>
      <c r="K19" s="63"/>
      <c r="L19" s="63"/>
    </row>
    <row r="20" spans="4:12" x14ac:dyDescent="0.25">
      <c r="D20" s="63"/>
      <c r="E20" s="63"/>
      <c r="F20" s="63"/>
      <c r="G20" s="63"/>
      <c r="H20" s="63"/>
      <c r="I20" s="63"/>
      <c r="J20" s="63"/>
      <c r="K20" s="63"/>
      <c r="L20" s="63"/>
    </row>
    <row r="21" spans="4:12" x14ac:dyDescent="0.25">
      <c r="D21" s="63"/>
      <c r="E21" s="63"/>
      <c r="F21" s="63"/>
      <c r="G21" s="63"/>
      <c r="H21" s="63"/>
      <c r="I21" s="63"/>
      <c r="J21" s="63"/>
      <c r="K21" s="63"/>
      <c r="L21" s="63"/>
    </row>
    <row r="22" spans="4:12" x14ac:dyDescent="0.25">
      <c r="D22" s="63"/>
      <c r="E22" s="63"/>
      <c r="F22" s="63"/>
      <c r="G22" s="63"/>
      <c r="H22" s="63"/>
      <c r="I22" s="63"/>
      <c r="J22" s="63"/>
      <c r="K22" s="63"/>
      <c r="L22" s="63"/>
    </row>
    <row r="23" spans="4:12" x14ac:dyDescent="0.25">
      <c r="D23" s="63"/>
      <c r="E23" s="63"/>
      <c r="F23" s="63"/>
      <c r="G23" s="63"/>
      <c r="H23" s="63"/>
      <c r="I23" s="63"/>
      <c r="J23" s="63"/>
      <c r="K23" s="63"/>
      <c r="L23" s="63"/>
    </row>
    <row r="24" spans="4:12" x14ac:dyDescent="0.25">
      <c r="D24" s="63"/>
      <c r="E24" s="63"/>
      <c r="F24" s="63"/>
      <c r="G24" s="63"/>
      <c r="H24" s="63"/>
      <c r="I24" s="63"/>
      <c r="J24" s="63"/>
      <c r="K24" s="63"/>
      <c r="L24" s="63"/>
    </row>
    <row r="25" spans="4:12" x14ac:dyDescent="0.25">
      <c r="D25" s="63"/>
      <c r="E25" s="63"/>
      <c r="F25" s="63"/>
      <c r="G25" s="63"/>
      <c r="H25" s="63"/>
      <c r="I25" s="63"/>
      <c r="J25" s="63"/>
      <c r="K25" s="63"/>
      <c r="L25" s="63"/>
    </row>
    <row r="26" spans="4:12" x14ac:dyDescent="0.25">
      <c r="D26" s="63"/>
      <c r="E26" s="63"/>
      <c r="F26" s="63"/>
      <c r="G26" s="63"/>
      <c r="H26" s="63"/>
      <c r="I26" s="63"/>
      <c r="J26" s="63"/>
      <c r="K26" s="63"/>
      <c r="L26" s="63"/>
    </row>
    <row r="27" spans="4:12" x14ac:dyDescent="0.25">
      <c r="D27" s="63"/>
      <c r="E27" s="63"/>
      <c r="F27" s="63"/>
      <c r="G27" s="63"/>
      <c r="H27" s="63"/>
      <c r="I27" s="63"/>
      <c r="J27" s="63"/>
      <c r="K27" s="63"/>
      <c r="L27" s="63"/>
    </row>
    <row r="28" spans="4:12" x14ac:dyDescent="0.25">
      <c r="D28" s="63"/>
      <c r="E28" s="63"/>
      <c r="F28" s="63"/>
      <c r="G28" s="63"/>
      <c r="H28" s="63"/>
      <c r="I28" s="63"/>
      <c r="J28" s="63"/>
      <c r="K28" s="63"/>
      <c r="L28" s="63"/>
    </row>
  </sheetData>
  <mergeCells count="1">
    <mergeCell ref="D2:L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</vt:lpstr>
      <vt:lpstr>Notes and Assumptions</vt:lpstr>
      <vt:lpstr>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2026-01-12T19:37:39Z</dcterms:created>
  <dcterms:modified xsi:type="dcterms:W3CDTF">2026-01-12T19:37:42Z</dcterms:modified>
</cp:coreProperties>
</file>