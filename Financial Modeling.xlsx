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showInkAnnotation="0" autoCompressPictures="0"/>
  <xr:revisionPtr revIDLastSave="0" documentId="13_ncr:1_{33EE218E-4439-49A0-9114-449827CD8C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ynamic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8" i="1" l="1"/>
  <c r="B44" i="1"/>
  <c r="B4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2" i="1"/>
  <c r="B41" i="1"/>
  <c r="B40" i="1"/>
  <c r="B39" i="1"/>
  <c r="E32" i="1"/>
  <c r="C32" i="1"/>
  <c r="D53" i="1" l="1"/>
  <c r="E25" i="1"/>
  <c r="E30" i="1" s="1"/>
  <c r="E29" i="1"/>
  <c r="E28" i="1"/>
  <c r="E27" i="1"/>
  <c r="E26" i="1"/>
  <c r="C29" i="1"/>
  <c r="C28" i="1"/>
  <c r="C27" i="1"/>
  <c r="C26" i="1"/>
  <c r="C25" i="1"/>
  <c r="C30" i="1" s="1"/>
  <c r="A12" i="1"/>
  <c r="D11" i="1"/>
  <c r="D10" i="1"/>
  <c r="D7" i="1"/>
  <c r="D6" i="1"/>
  <c r="A5" i="1" l="1"/>
</calcChain>
</file>

<file path=xl/sharedStrings.xml><?xml version="1.0" encoding="utf-8"?>
<sst xmlns="http://schemas.openxmlformats.org/spreadsheetml/2006/main" count="34" uniqueCount="29">
  <si>
    <t>Task 1:</t>
  </si>
  <si>
    <t>Compounding Interest Rate</t>
  </si>
  <si>
    <t>Principal (Present Value)</t>
  </si>
  <si>
    <t>Time Period (years)</t>
  </si>
  <si>
    <t>Interest Rate</t>
  </si>
  <si>
    <t>Future Pay Off</t>
  </si>
  <si>
    <t>Simple Interest Rate</t>
  </si>
  <si>
    <t>Task 2:</t>
  </si>
  <si>
    <t>Discount Rate</t>
  </si>
  <si>
    <t>Project 1</t>
  </si>
  <si>
    <t>Project 2</t>
  </si>
  <si>
    <t>Year</t>
  </si>
  <si>
    <t>Future Cash Flows</t>
  </si>
  <si>
    <t>Discounted Cash Flow</t>
  </si>
  <si>
    <t>P1: NPV</t>
  </si>
  <si>
    <t>P2: NPV</t>
  </si>
  <si>
    <t>Based on NPV analysis,</t>
  </si>
  <si>
    <t>shoould be chosen.</t>
  </si>
  <si>
    <t>NPV function check the values</t>
  </si>
  <si>
    <t>Task 3:</t>
  </si>
  <si>
    <t>We need run a series of interest rates as discount rate to see how NPV changes to different interest rates.</t>
  </si>
  <si>
    <t>Interest rate (discount rate)</t>
  </si>
  <si>
    <t>NPV</t>
  </si>
  <si>
    <t>Please use Scatter Graph to Plot.</t>
  </si>
  <si>
    <t>IRR</t>
  </si>
  <si>
    <t>Extended exercise for students to figure out after workshop</t>
  </si>
  <si>
    <t>Fill the highlighted areas</t>
  </si>
  <si>
    <t xml:space="preserve">IRR Analysis </t>
  </si>
  <si>
    <t>NPV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</si>
</sst>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_);[Red]\(&quot;£&quot;#,##0.00\)"/>
    <numFmt numFmtId="165" formatCode="_(* #,##0.00_);_(* \(#,##0.00\);_(* &quot;-&quot;??_);_(@_)"/>
    <numFmt numFmtId="166" formatCode="&quot;£&quot;#,##0.00"/>
    <numFmt numFmtId="167" formatCode="0.000%"/>
  </numFmts>
  <fonts count="13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b/>
      <sz val="14"/>
      <color rgb="FF0000FF"/>
      <name val="Calibri"/>
      <family val="2"/>
      <scheme val="minor"/>
    </font>
    <font>
      <sz val="14"/>
      <color theme="1"/>
      <name val="Calibri"/>
      <family val="2"/>
      <charset val="129"/>
      <scheme val="minor"/>
    </font>
    <font>
      <b/>
      <sz val="14"/>
      <color theme="1"/>
      <name val="Calibri"/>
      <family val="2"/>
      <charset val="129"/>
      <scheme val="minor"/>
    </font>
    <font>
      <b/>
      <sz val="14"/>
      <color rgb="FF000000"/>
      <name val="Calibri"/>
      <family val="2"/>
      <charset val="129"/>
      <scheme val="minor"/>
    </font>
    <font>
      <sz val="14"/>
      <color theme="1"/>
      <name val="Cambria"/>
      <family val="1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3366FF"/>
      <name val="Calibri"/>
      <family val="2"/>
      <scheme val="minor"/>
    </font>
    <font>
      <sz val="14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6" fontId="5" fillId="2" borderId="4" xfId="1" applyNumberFormat="1" applyFont="1" applyFill="1" applyBorder="1"/>
    <xf numFmtId="9" fontId="5" fillId="0" borderId="0" xfId="0" applyNumberFormat="1" applyFont="1"/>
    <xf numFmtId="166" fontId="5" fillId="0" borderId="0" xfId="0" applyNumberFormat="1" applyFont="1"/>
    <xf numFmtId="166" fontId="5" fillId="0" borderId="0" xfId="1" applyNumberFormat="1" applyFont="1"/>
    <xf numFmtId="166" fontId="5" fillId="2" borderId="4" xfId="0" applyNumberFormat="1" applyFont="1" applyFill="1" applyBorder="1"/>
    <xf numFmtId="166" fontId="6" fillId="0" borderId="0" xfId="1" applyNumberFormat="1" applyFont="1"/>
    <xf numFmtId="0" fontId="7" fillId="0" borderId="0" xfId="0" applyFont="1"/>
    <xf numFmtId="166" fontId="5" fillId="0" borderId="0" xfId="1" applyNumberFormat="1" applyFont="1" applyFill="1" applyBorder="1"/>
    <xf numFmtId="166" fontId="5" fillId="4" borderId="0" xfId="1" applyNumberFormat="1" applyFont="1" applyFill="1" applyBorder="1"/>
    <xf numFmtId="0" fontId="5" fillId="4" borderId="0" xfId="0" applyFont="1" applyFill="1"/>
    <xf numFmtId="9" fontId="5" fillId="4" borderId="0" xfId="0" applyNumberFormat="1" applyFont="1" applyFill="1"/>
    <xf numFmtId="166" fontId="5" fillId="4" borderId="0" xfId="0" applyNumberFormat="1" applyFont="1" applyFill="1"/>
    <xf numFmtId="0" fontId="7" fillId="4" borderId="0" xfId="0" applyFont="1" applyFill="1"/>
    <xf numFmtId="0" fontId="6" fillId="0" borderId="1" xfId="0" applyFont="1" applyBorder="1"/>
    <xf numFmtId="9" fontId="6" fillId="0" borderId="2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166" fontId="8" fillId="2" borderId="4" xfId="0" applyNumberFormat="1" applyFont="1" applyFill="1" applyBorder="1"/>
    <xf numFmtId="0" fontId="9" fillId="0" borderId="0" xfId="0" applyFont="1" applyAlignment="1">
      <alignment vertical="center"/>
    </xf>
    <xf numFmtId="0" fontId="5" fillId="3" borderId="4" xfId="0" applyFont="1" applyFill="1" applyBorder="1"/>
    <xf numFmtId="164" fontId="5" fillId="2" borderId="4" xfId="0" applyNumberFormat="1" applyFont="1" applyFill="1" applyBorder="1"/>
    <xf numFmtId="0" fontId="11" fillId="0" borderId="0" xfId="0" applyFont="1"/>
    <xf numFmtId="0" fontId="5" fillId="0" borderId="0" xfId="0" applyFont="1" applyAlignment="1">
      <alignment wrapText="1"/>
    </xf>
    <xf numFmtId="0" fontId="6" fillId="0" borderId="4" xfId="0" applyFont="1" applyBorder="1" applyAlignment="1">
      <alignment horizontal="center"/>
    </xf>
    <xf numFmtId="9" fontId="5" fillId="2" borderId="4" xfId="0" applyNumberFormat="1" applyFont="1" applyFill="1" applyBorder="1"/>
    <xf numFmtId="10" fontId="5" fillId="2" borderId="4" xfId="0" applyNumberFormat="1" applyFont="1" applyFill="1" applyBorder="1"/>
    <xf numFmtId="167" fontId="5" fillId="0" borderId="0" xfId="0" applyNumberFormat="1" applyFont="1"/>
    <xf numFmtId="9" fontId="6" fillId="2" borderId="4" xfId="0" applyNumberFormat="1" applyFont="1" applyFill="1" applyBorder="1"/>
    <xf numFmtId="10" fontId="12" fillId="2" borderId="4" xfId="0" applyNumberFormat="1" applyFont="1" applyFill="1" applyBorder="1"/>
    <xf numFmtId="3" fontId="5" fillId="0" borderId="0" xfId="0" applyNumberFormat="1" applyFont="1"/>
    <xf numFmtId="0" fontId="9" fillId="0" borderId="3" xfId="0" applyFont="1" applyBorder="1" applyAlignment="1">
      <alignment horizontal="center" vertical="center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NPV and Interest rate (discount rate)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'Dynamic Model'!$A$38:$A$62</c:f>
              <c:numCache>
                <c:formatCode>0.00%</c:formatCode>
                <c:ptCount val="25"/>
                <c:pt idx="0" formatCode="0%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</c:numCache>
            </c:numRef>
          </c:xVal>
          <c:yVal>
            <c:numRef>
              <c:f>'Dynamic Model'!$B$38:$B$62</c:f>
              <c:numCache>
                <c:formatCode>"£"#,##0.00</c:formatCode>
                <c:ptCount val="25"/>
                <c:pt idx="0">
                  <c:v>310000</c:v>
                </c:pt>
                <c:pt idx="1">
                  <c:v>289214.74125397613</c:v>
                </c:pt>
                <c:pt idx="2">
                  <c:v>269230.83290503873</c:v>
                </c:pt>
                <c:pt idx="3">
                  <c:v>250008.02037258144</c:v>
                </c:pt>
                <c:pt idx="4">
                  <c:v>231508.49278736732</c:v>
                </c:pt>
                <c:pt idx="5">
                  <c:v>213696.71073266806</c:v>
                </c:pt>
                <c:pt idx="6">
                  <c:v>196539.24773407332</c:v>
                </c:pt>
                <c:pt idx="7">
                  <c:v>180004.64427718217</c:v>
                </c:pt>
                <c:pt idx="8">
                  <c:v>164063.27325140499</c:v>
                </c:pt>
                <c:pt idx="9">
                  <c:v>148687.21582452452</c:v>
                </c:pt>
                <c:pt idx="10">
                  <c:v>133850.14684789279</c:v>
                </c:pt>
                <c:pt idx="11">
                  <c:v>119527.22897747532</c:v>
                </c:pt>
                <c:pt idx="12">
                  <c:v>105695.01477249048</c:v>
                </c:pt>
                <c:pt idx="13">
                  <c:v>92331.356102108373</c:v>
                </c:pt>
                <c:pt idx="14">
                  <c:v>79415.320252432488</c:v>
                </c:pt>
                <c:pt idx="15">
                  <c:v>66927.112181560253</c:v>
                </c:pt>
                <c:pt idx="16">
                  <c:v>54848.002420537407</c:v>
                </c:pt>
                <c:pt idx="17">
                  <c:v>43160.260163150495</c:v>
                </c:pt>
                <c:pt idx="18">
                  <c:v>31847.091128175613</c:v>
                </c:pt>
                <c:pt idx="19">
                  <c:v>20892.579814464436</c:v>
                </c:pt>
                <c:pt idx="20">
                  <c:v>10281.635802469216</c:v>
                </c:pt>
                <c:pt idx="21">
                  <c:v>-5.6214139214716852E-2</c:v>
                </c:pt>
                <c:pt idx="22">
                  <c:v>-9966.0829558854457</c:v>
                </c:pt>
                <c:pt idx="23">
                  <c:v>-19629.345908396645</c:v>
                </c:pt>
                <c:pt idx="24">
                  <c:v>-29002.101738888479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0-43FF-B6DF-6EB110EE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052063"/>
        <c:axId val="1552052479"/>
      </c:scatterChart>
      <c:valAx>
        <c:axId val="155205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52479"/>
        <c:crosses val="autoZero"/>
        <c:crossBetween val="midCat"/>
      </c:valAx>
      <c:valAx>
        <c:axId val="155205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5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185056</xdr:colOff>
      <xdr:row>3</xdr:row>
      <xdr:rowOff>76199</xdr:rowOff>
    </xdr:from>
    <xdr:to>
      <xdr:col>4</xdr:col>
      <xdr:colOff>3499342</xdr:colOff>
      <xdr:row>5</xdr:row>
      <xdr:rowOff>190428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5656" y="761999"/>
          <a:ext cx="3314286" cy="5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206830</xdr:colOff>
      <xdr:row>8</xdr:row>
      <xdr:rowOff>43544</xdr:rowOff>
    </xdr:from>
    <xdr:to>
      <xdr:col>4</xdr:col>
      <xdr:colOff>3146822</xdr:colOff>
      <xdr:row>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7430" y="1872344"/>
          <a:ext cx="2939992" cy="489856"/>
        </a:xfrm>
        <a:prstGeom prst="rect">
          <a:avLst/>
        </a:prstGeom>
      </xdr:spPr>
    </xdr:pic>
    <xdr:clientData/>
  </xdr:twoCellAnchor>
  <xdr:twoCellAnchor>
    <xdr:from>
      <xdr:col>4</xdr:col>
      <xdr:colOff>380999</xdr:colOff>
      <xdr:row>36</xdr:row>
      <xdr:rowOff>146955</xdr:rowOff>
    </xdr:from>
    <xdr:to>
      <xdr:col>5</xdr:col>
      <xdr:colOff>968828</xdr:colOff>
      <xdr:row>49</xdr:row>
      <xdr:rowOff>163284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zoomScale="70" zoomScaleNormal="70" workbookViewId="0">
      <selection activeCell="J13" sqref="J13"/>
    </sheetView>
  </sheetViews>
  <sheetFormatPr defaultColWidth="10.59765625" defaultRowHeight="18"/>
  <cols>
    <col min="1" max="1" width="29.3984375" style="2" bestFit="1" customWidth="1"/>
    <col min="2" max="2" width="24.69921875" style="2" bestFit="1" customWidth="1"/>
    <col min="3" max="3" width="22.09765625" style="2" customWidth="1"/>
    <col min="4" max="4" width="36.8984375" style="2" bestFit="1" customWidth="1"/>
    <col min="5" max="5" width="58.69921875" style="2" bestFit="1" customWidth="1"/>
    <col min="6" max="6" width="27.09765625" style="2" customWidth="1"/>
    <col min="7" max="16384" width="10.59765625" style="2"/>
  </cols>
  <sheetData>
    <row r="1" spans="1:5">
      <c r="A1" s="1" t="s">
        <v>0</v>
      </c>
      <c r="B1" s="1" t="s">
        <v>26</v>
      </c>
    </row>
    <row r="2" spans="1:5">
      <c r="A2" s="3"/>
      <c r="B2" s="3"/>
    </row>
    <row r="3" spans="1:5">
      <c r="A3" s="3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</row>
    <row r="5" spans="1:5">
      <c r="A5" s="4">
        <f>D5/((1+C5)^B5)</f>
        <v>4539.4148457487936</v>
      </c>
      <c r="B5" s="2">
        <v>5</v>
      </c>
      <c r="C5" s="5">
        <v>0.12</v>
      </c>
      <c r="D5" s="6">
        <v>8000</v>
      </c>
    </row>
    <row r="6" spans="1:5">
      <c r="A6" s="7">
        <v>4862.62</v>
      </c>
      <c r="B6" s="2">
        <v>8</v>
      </c>
      <c r="C6" s="5">
        <v>0.08</v>
      </c>
      <c r="D6" s="8">
        <f>A6*((1+C6)^B6)</f>
        <v>9000.3702591208857</v>
      </c>
    </row>
    <row r="7" spans="1:5">
      <c r="A7" s="7">
        <v>960</v>
      </c>
      <c r="B7" s="2">
        <v>3</v>
      </c>
      <c r="C7" s="5">
        <v>0.16</v>
      </c>
      <c r="D7" s="8">
        <f>A7*((1+C7)^B7)</f>
        <v>1498.4601599999999</v>
      </c>
      <c r="E7" s="3" t="s">
        <v>25</v>
      </c>
    </row>
    <row r="8" spans="1:5">
      <c r="A8" s="7"/>
      <c r="C8" s="5"/>
      <c r="D8" s="6"/>
    </row>
    <row r="9" spans="1:5">
      <c r="A9" s="9" t="s">
        <v>6</v>
      </c>
      <c r="C9" s="5"/>
      <c r="D9" s="6"/>
    </row>
    <row r="10" spans="1:5">
      <c r="A10" s="7">
        <v>4539.41</v>
      </c>
      <c r="B10" s="2">
        <v>4</v>
      </c>
      <c r="C10" s="5">
        <v>0.06</v>
      </c>
      <c r="D10" s="8">
        <f>A10*(1+C10*B10)</f>
        <v>5628.8683999999994</v>
      </c>
    </row>
    <row r="11" spans="1:5">
      <c r="A11" s="7">
        <v>4862.62</v>
      </c>
      <c r="B11" s="2">
        <v>6</v>
      </c>
      <c r="C11" s="5">
        <v>0.13</v>
      </c>
      <c r="D11" s="8">
        <f>A11*(1+C11*B11)</f>
        <v>8655.4635999999991</v>
      </c>
      <c r="E11" s="3"/>
    </row>
    <row r="12" spans="1:5">
      <c r="A12" s="4">
        <f>D12/(1+C12*B12)</f>
        <v>960</v>
      </c>
      <c r="B12" s="2">
        <v>10</v>
      </c>
      <c r="C12" s="5">
        <v>0.15</v>
      </c>
      <c r="D12" s="6">
        <v>2400</v>
      </c>
      <c r="E12" s="10" t="s">
        <v>25</v>
      </c>
    </row>
    <row r="13" spans="1:5">
      <c r="A13" s="11"/>
      <c r="C13" s="5"/>
      <c r="D13" s="6"/>
      <c r="E13" s="10"/>
    </row>
    <row r="14" spans="1:5">
      <c r="A14" s="11"/>
      <c r="C14" s="5"/>
      <c r="D14" s="6"/>
      <c r="E14" s="10"/>
    </row>
    <row r="15" spans="1:5">
      <c r="A15" s="11"/>
      <c r="C15" s="5"/>
      <c r="D15" s="6"/>
      <c r="E15" s="10"/>
    </row>
    <row r="16" spans="1:5">
      <c r="A16" s="11"/>
      <c r="C16" s="5"/>
      <c r="D16" s="6"/>
      <c r="E16" s="10"/>
    </row>
    <row r="17" spans="1:6">
      <c r="A17" s="12"/>
      <c r="B17" s="13"/>
      <c r="C17" s="14"/>
      <c r="D17" s="15"/>
      <c r="E17" s="16"/>
      <c r="F17" s="13"/>
    </row>
    <row r="18" spans="1:6">
      <c r="A18" s="12"/>
      <c r="B18" s="13"/>
      <c r="C18" s="14"/>
      <c r="D18" s="15"/>
      <c r="E18" s="16"/>
      <c r="F18" s="13"/>
    </row>
    <row r="21" spans="1:6">
      <c r="A21" s="1" t="s">
        <v>7</v>
      </c>
      <c r="B21" s="1" t="s">
        <v>28</v>
      </c>
    </row>
    <row r="22" spans="1:6">
      <c r="A22" s="17" t="s">
        <v>8</v>
      </c>
      <c r="B22" s="18">
        <v>0.08</v>
      </c>
    </row>
    <row r="23" spans="1:6" ht="18.600000000000001" thickBot="1">
      <c r="A23" s="19"/>
      <c r="B23" s="19"/>
      <c r="C23" s="36" t="s">
        <v>9</v>
      </c>
      <c r="D23" s="36"/>
      <c r="E23" s="36" t="s">
        <v>10</v>
      </c>
      <c r="F23" s="36"/>
    </row>
    <row r="24" spans="1:6">
      <c r="A24" s="20" t="s">
        <v>11</v>
      </c>
      <c r="B24" s="20" t="s">
        <v>12</v>
      </c>
      <c r="C24" s="20" t="s">
        <v>13</v>
      </c>
      <c r="D24" s="20" t="s">
        <v>12</v>
      </c>
      <c r="E24" s="20" t="s">
        <v>13</v>
      </c>
    </row>
    <row r="25" spans="1:6">
      <c r="A25" s="21">
        <v>0</v>
      </c>
      <c r="B25" s="22">
        <v>-550000</v>
      </c>
      <c r="C25" s="23">
        <f>B25/((1+B22))^0</f>
        <v>-550000</v>
      </c>
      <c r="D25" s="22">
        <v>-550000</v>
      </c>
      <c r="E25" s="23">
        <f>D25/((1+B22))^0</f>
        <v>-550000</v>
      </c>
    </row>
    <row r="26" spans="1:6">
      <c r="A26" s="21">
        <v>1</v>
      </c>
      <c r="B26" s="22">
        <v>200000</v>
      </c>
      <c r="C26" s="23">
        <f>B26/((1+B22))^1</f>
        <v>185185.18518518517</v>
      </c>
      <c r="D26" s="22">
        <v>225000</v>
      </c>
      <c r="E26" s="23">
        <f>D26/((1+B22))^1</f>
        <v>208333.33333333331</v>
      </c>
    </row>
    <row r="27" spans="1:6">
      <c r="A27" s="21">
        <v>2</v>
      </c>
      <c r="B27" s="22">
        <v>205000</v>
      </c>
      <c r="C27" s="23">
        <f>B27/((1+B22))^2</f>
        <v>175754.45816186556</v>
      </c>
      <c r="D27" s="22">
        <v>225000</v>
      </c>
      <c r="E27" s="23">
        <f>D27/((1+B22))^2</f>
        <v>192901.23456790121</v>
      </c>
    </row>
    <row r="28" spans="1:6">
      <c r="A28" s="21">
        <v>3</v>
      </c>
      <c r="B28" s="22">
        <v>220000</v>
      </c>
      <c r="C28" s="23">
        <f>B28/((1+B22))^3</f>
        <v>174643.09302443732</v>
      </c>
      <c r="D28" s="22">
        <v>195000</v>
      </c>
      <c r="E28" s="23">
        <f>D28/((1+B22))^3</f>
        <v>154797.28699893306</v>
      </c>
    </row>
    <row r="29" spans="1:6">
      <c r="A29" s="21">
        <v>4</v>
      </c>
      <c r="B29" s="22">
        <v>240000</v>
      </c>
      <c r="C29" s="23">
        <f>B29/((1+B22))^4</f>
        <v>176407.16467114878</v>
      </c>
      <c r="D29" s="22">
        <v>215000</v>
      </c>
      <c r="E29" s="23">
        <f>D29/((1+B22))^4</f>
        <v>158031.41835123746</v>
      </c>
    </row>
    <row r="30" spans="1:6">
      <c r="A30" s="19"/>
      <c r="B30" s="24" t="s">
        <v>14</v>
      </c>
      <c r="C30" s="23">
        <f>SUM(C25:C29)</f>
        <v>161989.90104263683</v>
      </c>
      <c r="D30" s="24" t="s">
        <v>15</v>
      </c>
      <c r="E30" s="23">
        <f>SUM(E25:E29)</f>
        <v>164063.27325140504</v>
      </c>
    </row>
    <row r="31" spans="1:6">
      <c r="B31" s="2" t="s">
        <v>16</v>
      </c>
      <c r="C31" s="25"/>
      <c r="D31" s="2" t="s">
        <v>17</v>
      </c>
    </row>
    <row r="32" spans="1:6">
      <c r="A32" s="2" t="s">
        <v>18</v>
      </c>
      <c r="B32" s="24" t="s">
        <v>14</v>
      </c>
      <c r="C32" s="26">
        <f>NPV(B22,B26:B29)+B25</f>
        <v>161989.90104263683</v>
      </c>
      <c r="D32" s="24" t="s">
        <v>15</v>
      </c>
      <c r="E32" s="26">
        <f>NPV(B22,D26:D29)+D25</f>
        <v>164063.27325140499</v>
      </c>
    </row>
    <row r="34" spans="1:4">
      <c r="A34" s="27" t="s">
        <v>19</v>
      </c>
      <c r="B34" s="27" t="s">
        <v>27</v>
      </c>
    </row>
    <row r="35" spans="1:4" ht="90">
      <c r="B35" s="28" t="s">
        <v>20</v>
      </c>
    </row>
    <row r="36" spans="1:4">
      <c r="D36" s="35"/>
    </row>
    <row r="37" spans="1:4">
      <c r="A37" s="29" t="s">
        <v>21</v>
      </c>
      <c r="B37" s="29" t="s">
        <v>22</v>
      </c>
    </row>
    <row r="38" spans="1:4">
      <c r="A38" s="30">
        <v>0</v>
      </c>
      <c r="B38" s="8">
        <f>NPV(A38,D26:D29)+D25</f>
        <v>310000</v>
      </c>
    </row>
    <row r="39" spans="1:4">
      <c r="A39" s="31">
        <v>0.01</v>
      </c>
      <c r="B39" s="8">
        <f>NPV(A39,D26:D29)+D25</f>
        <v>289214.74125397613</v>
      </c>
    </row>
    <row r="40" spans="1:4">
      <c r="A40" s="31">
        <v>0.02</v>
      </c>
      <c r="B40" s="8">
        <f>NPV(A40,D26:D29)+D25</f>
        <v>269230.83290503873</v>
      </c>
      <c r="C40" s="32"/>
    </row>
    <row r="41" spans="1:4">
      <c r="A41" s="31">
        <v>0.03</v>
      </c>
      <c r="B41" s="8">
        <f>NPV(A41,D26:D29)+D25</f>
        <v>250008.02037258144</v>
      </c>
    </row>
    <row r="42" spans="1:4">
      <c r="A42" s="31">
        <v>0.04</v>
      </c>
      <c r="B42" s="8">
        <f>NPV(A42,D26:D29)+D25</f>
        <v>231508.49278736732</v>
      </c>
    </row>
    <row r="43" spans="1:4">
      <c r="A43" s="31">
        <v>0.05</v>
      </c>
      <c r="B43" s="8">
        <f>NPV(A43,D26:D29)+D25</f>
        <v>213696.71073266806</v>
      </c>
    </row>
    <row r="44" spans="1:4">
      <c r="A44" s="31">
        <v>0.06</v>
      </c>
      <c r="B44" s="8">
        <f>NPV(A44,D26:D29)+D25</f>
        <v>196539.24773407332</v>
      </c>
    </row>
    <row r="45" spans="1:4">
      <c r="A45" s="31">
        <v>7.0000000000000007E-2</v>
      </c>
      <c r="B45" s="8">
        <f>NPV(A45,D26:D29)+D25</f>
        <v>180004.64427718217</v>
      </c>
    </row>
    <row r="46" spans="1:4">
      <c r="A46" s="31">
        <v>0.08</v>
      </c>
      <c r="B46" s="8">
        <f>NPV(A46,D26:D29)+D25</f>
        <v>164063.27325140499</v>
      </c>
      <c r="D46" s="3" t="s">
        <v>23</v>
      </c>
    </row>
    <row r="47" spans="1:4">
      <c r="A47" s="31">
        <v>0.09</v>
      </c>
      <c r="B47" s="8">
        <f>NPV(A47,D26:D29)+D25</f>
        <v>148687.21582452452</v>
      </c>
    </row>
    <row r="48" spans="1:4">
      <c r="A48" s="31">
        <v>0.1</v>
      </c>
      <c r="B48" s="8">
        <f>NPV(A48,D26:D29)+D25</f>
        <v>133850.14684789279</v>
      </c>
    </row>
    <row r="49" spans="1:4">
      <c r="A49" s="31">
        <v>0.11</v>
      </c>
      <c r="B49" s="8">
        <f>NPV(A49,D26:D29)+D25</f>
        <v>119527.22897747532</v>
      </c>
    </row>
    <row r="50" spans="1:4">
      <c r="A50" s="31">
        <v>0.12</v>
      </c>
      <c r="B50" s="8">
        <f>NPV(A50,D26:D29)+D25</f>
        <v>105695.01477249048</v>
      </c>
    </row>
    <row r="51" spans="1:4">
      <c r="A51" s="31">
        <v>0.13</v>
      </c>
      <c r="B51" s="8">
        <f>NPV(A51,D26:D29)+D25</f>
        <v>92331.356102108373</v>
      </c>
    </row>
    <row r="52" spans="1:4">
      <c r="A52" s="31">
        <v>0.14000000000000001</v>
      </c>
      <c r="B52" s="8">
        <f>NPV(A52,D26:D29)+D25</f>
        <v>79415.320252432488</v>
      </c>
    </row>
    <row r="53" spans="1:4">
      <c r="A53" s="34">
        <v>0.15</v>
      </c>
      <c r="B53" s="8">
        <f>NPV(A53,D26:D29)+D25</f>
        <v>66927.112181560253</v>
      </c>
      <c r="C53" s="3" t="s">
        <v>24</v>
      </c>
      <c r="D53" s="33">
        <f>IRR(D25:D29)</f>
        <v>0.20999994446149239</v>
      </c>
    </row>
    <row r="54" spans="1:4">
      <c r="A54" s="31">
        <v>0.16</v>
      </c>
      <c r="B54" s="8">
        <f>NPV(A54,D26:D29)+D25</f>
        <v>54848.002420537407</v>
      </c>
    </row>
    <row r="55" spans="1:4">
      <c r="A55" s="31">
        <v>0.17</v>
      </c>
      <c r="B55" s="8">
        <f>NPV(A55,D26:D29)+D25</f>
        <v>43160.260163150495</v>
      </c>
    </row>
    <row r="56" spans="1:4">
      <c r="A56" s="31">
        <v>0.18</v>
      </c>
      <c r="B56" s="8">
        <f>NPV(A56,D26:D29)+D25</f>
        <v>31847.091128175613</v>
      </c>
    </row>
    <row r="57" spans="1:4">
      <c r="A57" s="31">
        <v>0.19</v>
      </c>
      <c r="B57" s="8">
        <f>NPV(A57,D26:D29)+D25</f>
        <v>20892.579814464436</v>
      </c>
    </row>
    <row r="58" spans="1:4">
      <c r="A58" s="31">
        <v>0.2</v>
      </c>
      <c r="B58" s="8">
        <f>NPV(A58,D26:D29)+D25</f>
        <v>10281.635802469216</v>
      </c>
    </row>
    <row r="59" spans="1:4">
      <c r="A59" s="31">
        <v>0.21</v>
      </c>
      <c r="B59" s="8">
        <f>NPV(A59,D26:D29)+D25</f>
        <v>-5.6214139214716852E-2</v>
      </c>
    </row>
    <row r="60" spans="1:4">
      <c r="A60" s="31">
        <v>0.22</v>
      </c>
      <c r="B60" s="8">
        <f>NPV(A60,D26:D29)+D25</f>
        <v>-9966.0829558854457</v>
      </c>
    </row>
    <row r="61" spans="1:4">
      <c r="A61" s="31">
        <v>0.23</v>
      </c>
      <c r="B61" s="8">
        <f>NPV(A61,D26:D29)+D25</f>
        <v>-19629.345908396645</v>
      </c>
    </row>
    <row r="62" spans="1:4">
      <c r="A62" s="31">
        <v>0.24</v>
      </c>
      <c r="B62" s="8">
        <f>NPV(A62,D26:D29)+D25</f>
        <v>-29002.101738888479</v>
      </c>
    </row>
  </sheetData>
  <mergeCells count="2">
    <mergeCell ref="C23:D23"/>
    <mergeCell ref="E23:F23"/>
  </mergeCells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2025-07-01T05:21:37Z</dcterms:created>
  <dcterms:modified xsi:type="dcterms:W3CDTF">2026-01-12T19:24:32Z</dcterms:modified>
</cp:coreProperties>
</file>