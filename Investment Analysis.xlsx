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808E794D-4280-4CAA-8EA6-04FE9129CB08}" xr6:coauthVersionLast="47" xr6:coauthVersionMax="47" xr10:uidLastSave="{00000000-0000-0000-0000-000000000000}"/>
  <bookViews>
    <workbookView xWindow="-108" yWindow="-108" windowWidth="23256" windowHeight="12456" xr2:uid="{2C77384F-4CA5-4090-BE42-EC74B4184FC6}"/>
  </bookViews>
  <sheets>
    <sheet name="Section A" sheetId="1" r:id="rId1"/>
    <sheet name="Section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8" i="2" l="1"/>
  <c r="D97" i="2"/>
  <c r="D96" i="2"/>
  <c r="D93" i="2"/>
  <c r="D92" i="2"/>
  <c r="D90" i="2"/>
  <c r="D88" i="2"/>
  <c r="D87" i="2"/>
  <c r="D86" i="2"/>
  <c r="E82" i="2"/>
  <c r="D82" i="2"/>
  <c r="D81" i="2"/>
  <c r="E74" i="2"/>
  <c r="D74" i="2"/>
  <c r="D73" i="2"/>
  <c r="D72" i="2"/>
  <c r="D71" i="2"/>
  <c r="D70" i="2"/>
  <c r="D68" i="2"/>
  <c r="D60" i="2"/>
  <c r="D62" i="2"/>
  <c r="D67" i="2"/>
  <c r="D59" i="2"/>
  <c r="E50" i="2"/>
  <c r="D52" i="2"/>
  <c r="D51" i="2"/>
  <c r="D50" i="2"/>
  <c r="D45" i="2"/>
  <c r="E49" i="2" s="1"/>
  <c r="E70" i="2" s="1"/>
  <c r="D33" i="2"/>
  <c r="E51" i="2" s="1"/>
  <c r="E69" i="2" s="1"/>
  <c r="D26" i="2"/>
  <c r="D69" i="2" s="1"/>
  <c r="H53" i="1"/>
  <c r="G45" i="1"/>
  <c r="G46" i="1"/>
  <c r="G47" i="1"/>
  <c r="G48" i="1"/>
  <c r="G44" i="1"/>
  <c r="H38" i="1"/>
  <c r="H29" i="1"/>
  <c r="F5" i="1"/>
  <c r="F13" i="1" s="1"/>
  <c r="G35" i="1"/>
  <c r="G36" i="1"/>
  <c r="G37" i="1"/>
  <c r="G38" i="1"/>
  <c r="G34" i="1"/>
  <c r="H8" i="1"/>
  <c r="I8" i="1" s="1"/>
  <c r="J8" i="1" s="1"/>
  <c r="J9" i="1" s="1"/>
  <c r="F38" i="1" s="1"/>
  <c r="F26" i="1" s="1"/>
  <c r="E21" i="1"/>
  <c r="G9" i="1"/>
  <c r="F14" i="1" s="1"/>
  <c r="C97" i="2"/>
  <c r="E48" i="2"/>
  <c r="E58" i="2" s="1"/>
  <c r="E66" i="2" s="1"/>
  <c r="E78" i="2" s="1"/>
  <c r="D48" i="2"/>
  <c r="D58" i="2" s="1"/>
  <c r="D66" i="2" s="1"/>
  <c r="C27" i="2"/>
  <c r="C20" i="2"/>
  <c r="D16" i="2"/>
  <c r="E96" i="2" s="1"/>
  <c r="F15" i="2"/>
  <c r="F14" i="2"/>
  <c r="F13" i="2"/>
  <c r="F12" i="2"/>
  <c r="F16" i="2" s="1"/>
  <c r="F11" i="2"/>
  <c r="D9" i="2"/>
  <c r="F8" i="2"/>
  <c r="F7" i="2"/>
  <c r="F6" i="2"/>
  <c r="F5" i="2"/>
  <c r="E13" i="1"/>
  <c r="E14" i="1"/>
  <c r="E15" i="1"/>
  <c r="E16" i="1"/>
  <c r="E17" i="1"/>
  <c r="E95" i="2" l="1"/>
  <c r="C89" i="2"/>
  <c r="D95" i="2"/>
  <c r="D78" i="2"/>
  <c r="C85" i="2" s="1"/>
  <c r="E53" i="2"/>
  <c r="E54" i="2" s="1"/>
  <c r="D49" i="2"/>
  <c r="D53" i="2" s="1"/>
  <c r="E59" i="2"/>
  <c r="F9" i="2"/>
  <c r="F17" i="2" s="1"/>
  <c r="G23" i="1"/>
  <c r="G24" i="1" s="1"/>
  <c r="G25" i="1" s="1"/>
  <c r="G26" i="1" s="1"/>
  <c r="H26" i="1"/>
  <c r="F34" i="1"/>
  <c r="F44" i="1" s="1"/>
  <c r="F17" i="1"/>
  <c r="E52" i="2"/>
  <c r="E81" i="2" s="1"/>
  <c r="E67" i="2"/>
  <c r="E68" i="2"/>
  <c r="H33" i="1"/>
  <c r="F33" i="1"/>
  <c r="H9" i="1"/>
  <c r="I9" i="1"/>
  <c r="F35" i="1"/>
  <c r="H35" i="1" s="1"/>
  <c r="D54" i="2" l="1"/>
  <c r="D61" i="2"/>
  <c r="F37" i="1"/>
  <c r="F25" i="1" s="1"/>
  <c r="H25" i="1" s="1"/>
  <c r="F16" i="1"/>
  <c r="G18" i="1" s="1"/>
  <c r="F36" i="1"/>
  <c r="F15" i="1"/>
  <c r="G13" i="1"/>
  <c r="G14" i="1" s="1"/>
  <c r="G15" i="1" s="1"/>
  <c r="H34" i="1"/>
  <c r="E97" i="2"/>
  <c r="E98" i="2" s="1"/>
  <c r="E72" i="2"/>
  <c r="E71" i="2"/>
  <c r="F23" i="1"/>
  <c r="H23" i="1" s="1"/>
  <c r="H28" i="1" s="1"/>
  <c r="H30" i="1" s="1"/>
  <c r="F24" i="1"/>
  <c r="H24" i="1" s="1"/>
  <c r="H44" i="1"/>
  <c r="E73" i="2" l="1"/>
  <c r="G16" i="1"/>
  <c r="G17" i="1" s="1"/>
  <c r="E60" i="2"/>
  <c r="E61" i="2" s="1"/>
  <c r="E62" i="2" s="1"/>
  <c r="F45" i="1"/>
  <c r="F46" i="1"/>
  <c r="H46" i="1" s="1"/>
  <c r="H36" i="1"/>
  <c r="H45" i="1" l="1"/>
  <c r="F47" i="1"/>
  <c r="H47" i="1" s="1"/>
  <c r="F48" i="1"/>
  <c r="H48" i="1" s="1"/>
  <c r="H37" i="1"/>
  <c r="H39" i="1" s="1"/>
  <c r="H49" i="1" l="1"/>
</calcChain>
</file>

<file path=xl/sharedStrings.xml><?xml version="1.0" encoding="utf-8"?>
<sst xmlns="http://schemas.openxmlformats.org/spreadsheetml/2006/main" count="122" uniqueCount="104">
  <si>
    <t>Particulars</t>
  </si>
  <si>
    <t>Particular</t>
  </si>
  <si>
    <t>Discounted factors</t>
  </si>
  <si>
    <t>NPV</t>
  </si>
  <si>
    <t>Year</t>
  </si>
  <si>
    <t xml:space="preserve">Average investment </t>
  </si>
  <si>
    <t xml:space="preserve">Cash flow </t>
  </si>
  <si>
    <t xml:space="preserve">Depreciation </t>
  </si>
  <si>
    <t>Discounted cashflow</t>
  </si>
  <si>
    <t xml:space="preserve">Cumulative cash flow </t>
  </si>
  <si>
    <t>Residual value of machine</t>
  </si>
  <si>
    <t>Expected cash inflows (revenue)</t>
  </si>
  <si>
    <t>Negative present value of cash flow</t>
  </si>
  <si>
    <t>Converting to year and month</t>
  </si>
  <si>
    <t>Quarter</t>
  </si>
  <si>
    <t>Units Sold</t>
  </si>
  <si>
    <t>Selling price per unit</t>
  </si>
  <si>
    <t>Sales Revenue</t>
  </si>
  <si>
    <t>Total Value</t>
  </si>
  <si>
    <t xml:space="preserve">Cost per Unit </t>
  </si>
  <si>
    <t>Total Variable Cost</t>
  </si>
  <si>
    <t>Direct labour</t>
  </si>
  <si>
    <t>Fixed Cost</t>
  </si>
  <si>
    <t>Insurance</t>
  </si>
  <si>
    <t>Total Annual Fixed Costs</t>
  </si>
  <si>
    <t>Items</t>
  </si>
  <si>
    <t>Total annual fixed costs per Product</t>
  </si>
  <si>
    <t>Variable cost per unit</t>
  </si>
  <si>
    <t>Contribution per unit</t>
  </si>
  <si>
    <t>Break-even Units</t>
  </si>
  <si>
    <t>Break-even Revenue</t>
  </si>
  <si>
    <t>Forecast annual sales unit</t>
  </si>
  <si>
    <t>Break-even sales</t>
  </si>
  <si>
    <t>Margin of Safety (Units)</t>
  </si>
  <si>
    <t>Margin of Safety (%)</t>
  </si>
  <si>
    <t>Sales volume</t>
  </si>
  <si>
    <t>Selling price</t>
  </si>
  <si>
    <t>Fixed costs allocated</t>
  </si>
  <si>
    <t>Sales revenue</t>
  </si>
  <si>
    <t>Less: Variable costs</t>
  </si>
  <si>
    <t>Contribution</t>
  </si>
  <si>
    <t>Operating profit</t>
  </si>
  <si>
    <t xml:space="preserve">Limiting Factor </t>
  </si>
  <si>
    <t xml:space="preserve">Direct labour time </t>
  </si>
  <si>
    <t>Labour Requirement per Unit</t>
  </si>
  <si>
    <t>Contribution per Unit</t>
  </si>
  <si>
    <t>Contribution per hour</t>
  </si>
  <si>
    <t>New Optimal Production Mix</t>
  </si>
  <si>
    <t>Direct labour hours</t>
  </si>
  <si>
    <t>Remaining Labour Hours</t>
  </si>
  <si>
    <t>Unused Labour Capacity (hours)</t>
  </si>
  <si>
    <t>Maximum Contribution Achieved</t>
  </si>
  <si>
    <t>Product</t>
  </si>
  <si>
    <t>Units</t>
  </si>
  <si>
    <t>Total Contribution on New Optimal Production Mix</t>
  </si>
  <si>
    <t>Cash Flow Analysis</t>
  </si>
  <si>
    <t>Working capital</t>
  </si>
  <si>
    <t>Machinery Cost (Initial investment)</t>
  </si>
  <si>
    <t xml:space="preserve">Discount Rate </t>
  </si>
  <si>
    <t xml:space="preserve">Net Cash flow </t>
  </si>
  <si>
    <t>Total Net Cash Inflows</t>
  </si>
  <si>
    <t>Payback Period</t>
  </si>
  <si>
    <t>Accounting Rate of Return (ARR)</t>
  </si>
  <si>
    <t>Net Present Value (NPV)</t>
  </si>
  <si>
    <t>Discount Factor @ 8.5%</t>
  </si>
  <si>
    <t>Discount Rate</t>
  </si>
  <si>
    <t>Total Initial Investment</t>
  </si>
  <si>
    <t>2 years 6 months</t>
  </si>
  <si>
    <t xml:space="preserve">Net Profit </t>
  </si>
  <si>
    <t>Net Average Profit</t>
  </si>
  <si>
    <t>(115000+146000+180100+297610)/4</t>
  </si>
  <si>
    <t>(820000+40000+80000)</t>
  </si>
  <si>
    <t>Workings</t>
  </si>
  <si>
    <t>(184678/470000)</t>
  </si>
  <si>
    <t>1. Forecasting the Quarterly Sales of Manufacturing</t>
  </si>
  <si>
    <t>Product A: Packaged Energy Bar</t>
  </si>
  <si>
    <t>Product B: Bottled Fruit Juice</t>
  </si>
  <si>
    <t>Total Forecasted Revenue for Year 1</t>
  </si>
  <si>
    <t>2. Variable Cost per Unit of Manufacturing</t>
  </si>
  <si>
    <t>Details</t>
  </si>
  <si>
    <t>Oats and cereal base</t>
  </si>
  <si>
    <t>Sweeteners and binding agents</t>
  </si>
  <si>
    <t>Packaging materials</t>
  </si>
  <si>
    <t>Fresh fruit ingredients</t>
  </si>
  <si>
    <t>Bottles and caps</t>
  </si>
  <si>
    <t>Utilities for processing</t>
  </si>
  <si>
    <t>3. Annual Fixed Costs of Manufacturing</t>
  </si>
  <si>
    <t>Value</t>
  </si>
  <si>
    <t>Factory rent</t>
  </si>
  <si>
    <t>Salaries of management and supervisors</t>
  </si>
  <si>
    <t>Machinery depreciation</t>
  </si>
  <si>
    <t>Business licences and compliance fees</t>
  </si>
  <si>
    <t>Marketing and advertising</t>
  </si>
  <si>
    <t>Administration and office expenses</t>
  </si>
  <si>
    <t>Security and maintenance contracts</t>
  </si>
  <si>
    <t>4. Break-even Analysis of Manufacturing - Marginal Costing</t>
  </si>
  <si>
    <t>5. Annual Margin of Safety of Manufacturing</t>
  </si>
  <si>
    <t xml:space="preserve">6. Annual Marginal Costing Income Statement </t>
  </si>
  <si>
    <t>Maximum Energy Bar Production (Units)</t>
  </si>
  <si>
    <t>Labour used (hours)</t>
  </si>
  <si>
    <t>Bottled Fruit Juice Production (Units)</t>
  </si>
  <si>
    <t>Demand constraint limits Bottled Fruit Juice (Units)</t>
  </si>
  <si>
    <t>Bottled Fruit Juice Labour used (hours)</t>
  </si>
  <si>
    <t xml:space="preserve">8. Single Limiting Factor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</si>
</sst>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£-809]* #,##0_-;\-[$£-809]* #,##0_-;_-[$£-809]* &quot;-&quot;??_-;_-@_-"/>
    <numFmt numFmtId="165" formatCode="_-[$£-809]* #,##0.00_-;\-[$£-809]* #,##0.00_-;_-[$£-809]* &quot;-&quot;??_-;_-@_-"/>
    <numFmt numFmtId="166" formatCode="0.0%"/>
    <numFmt numFmtId="167" formatCode="0.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i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8">
    <xf numFmtId="0" fontId="0" fillId="0" borderId="0" xfId="0"/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2" fontId="3" fillId="0" borderId="1" xfId="0" applyNumberFormat="1" applyFont="1" applyBorder="1" applyAlignment="1">
      <alignment horizontal="center"/>
    </xf>
    <xf numFmtId="10" fontId="3" fillId="0" borderId="1" xfId="1" applyNumberFormat="1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166" fontId="1" fillId="0" borderId="1" xfId="1" applyNumberFormat="1" applyFont="1" applyFill="1" applyBorder="1"/>
    <xf numFmtId="167" fontId="1" fillId="0" borderId="1" xfId="0" applyNumberFormat="1" applyFont="1" applyBorder="1"/>
    <xf numFmtId="0" fontId="1" fillId="0" borderId="0" xfId="1" applyNumberFormat="1" applyFont="1" applyFill="1" applyBorder="1"/>
    <xf numFmtId="10" fontId="1" fillId="0" borderId="0" xfId="1" applyNumberFormat="1" applyFont="1" applyFill="1" applyBorder="1"/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/>
    <xf numFmtId="3" fontId="1" fillId="3" borderId="1" xfId="0" applyNumberFormat="1" applyFont="1" applyFill="1" applyBorder="1"/>
    <xf numFmtId="165" fontId="1" fillId="3" borderId="1" xfId="0" applyNumberFormat="1" applyFont="1" applyFill="1" applyBorder="1"/>
    <xf numFmtId="164" fontId="1" fillId="3" borderId="1" xfId="0" applyNumberFormat="1" applyFont="1" applyFill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/>
    <xf numFmtId="3" fontId="1" fillId="4" borderId="1" xfId="0" applyNumberFormat="1" applyFont="1" applyFill="1" applyBorder="1"/>
    <xf numFmtId="165" fontId="1" fillId="4" borderId="1" xfId="0" applyNumberFormat="1" applyFont="1" applyFill="1" applyBorder="1"/>
    <xf numFmtId="164" fontId="1" fillId="4" borderId="1" xfId="0" applyNumberFormat="1" applyFont="1" applyFill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165" fontId="5" fillId="4" borderId="1" xfId="0" applyNumberFormat="1" applyFont="1" applyFill="1" applyBorder="1"/>
    <xf numFmtId="164" fontId="5" fillId="4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/>
    <xf numFmtId="165" fontId="1" fillId="5" borderId="1" xfId="0" applyNumberFormat="1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3" fillId="6" borderId="1" xfId="0" applyFont="1" applyFill="1" applyBorder="1" applyAlignment="1">
      <alignment horizontal="center"/>
    </xf>
    <xf numFmtId="0" fontId="1" fillId="6" borderId="1" xfId="0" applyFont="1" applyFill="1" applyBorder="1"/>
    <xf numFmtId="164" fontId="1" fillId="6" borderId="1" xfId="0" applyNumberFormat="1" applyFont="1" applyFill="1" applyBorder="1"/>
    <xf numFmtId="0" fontId="5" fillId="6" borderId="1" xfId="0" applyFont="1" applyFill="1" applyBorder="1"/>
    <xf numFmtId="0" fontId="3" fillId="7" borderId="1" xfId="0" applyFont="1" applyFill="1" applyBorder="1" applyAlignment="1">
      <alignment horizontal="center"/>
    </xf>
    <xf numFmtId="0" fontId="1" fillId="7" borderId="1" xfId="0" applyFont="1" applyFill="1" applyBorder="1"/>
    <xf numFmtId="164" fontId="1" fillId="7" borderId="1" xfId="0" applyNumberFormat="1" applyFont="1" applyFill="1" applyBorder="1"/>
    <xf numFmtId="165" fontId="1" fillId="7" borderId="1" xfId="0" applyNumberFormat="1" applyFont="1" applyFill="1" applyBorder="1"/>
    <xf numFmtId="0" fontId="3" fillId="7" borderId="1" xfId="0" applyFont="1" applyFill="1" applyBorder="1"/>
    <xf numFmtId="165" fontId="3" fillId="7" borderId="1" xfId="0" applyNumberFormat="1" applyFont="1" applyFill="1" applyBorder="1"/>
    <xf numFmtId="1" fontId="3" fillId="7" borderId="1" xfId="0" applyNumberFormat="1" applyFont="1" applyFill="1" applyBorder="1"/>
    <xf numFmtId="164" fontId="3" fillId="7" borderId="1" xfId="0" applyNumberFormat="1" applyFont="1" applyFill="1" applyBorder="1"/>
    <xf numFmtId="0" fontId="3" fillId="8" borderId="1" xfId="0" applyFont="1" applyFill="1" applyBorder="1" applyAlignment="1">
      <alignment horizontal="center"/>
    </xf>
    <xf numFmtId="0" fontId="1" fillId="8" borderId="1" xfId="0" applyFont="1" applyFill="1" applyBorder="1"/>
    <xf numFmtId="3" fontId="1" fillId="8" borderId="1" xfId="0" applyNumberFormat="1" applyFont="1" applyFill="1" applyBorder="1"/>
    <xf numFmtId="1" fontId="1" fillId="8" borderId="1" xfId="0" applyNumberFormat="1" applyFont="1" applyFill="1" applyBorder="1"/>
    <xf numFmtId="0" fontId="5" fillId="8" borderId="1" xfId="0" applyFont="1" applyFill="1" applyBorder="1"/>
    <xf numFmtId="1" fontId="5" fillId="8" borderId="1" xfId="0" applyNumberFormat="1" applyFont="1" applyFill="1" applyBorder="1"/>
    <xf numFmtId="10" fontId="5" fillId="8" borderId="1" xfId="1" applyNumberFormat="1" applyFont="1" applyFill="1" applyBorder="1"/>
    <xf numFmtId="0" fontId="3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1" fillId="9" borderId="1" xfId="0" applyFont="1" applyFill="1" applyBorder="1"/>
    <xf numFmtId="2" fontId="1" fillId="9" borderId="1" xfId="0" applyNumberFormat="1" applyFont="1" applyFill="1" applyBorder="1"/>
    <xf numFmtId="165" fontId="1" fillId="9" borderId="1" xfId="0" applyNumberFormat="1" applyFont="1" applyFill="1" applyBorder="1"/>
    <xf numFmtId="0" fontId="3" fillId="9" borderId="1" xfId="0" applyFont="1" applyFill="1" applyBorder="1"/>
    <xf numFmtId="165" fontId="3" fillId="9" borderId="1" xfId="0" applyNumberFormat="1" applyFont="1" applyFill="1" applyBorder="1"/>
    <xf numFmtId="3" fontId="1" fillId="9" borderId="1" xfId="0" applyNumberFormat="1" applyFont="1" applyFill="1" applyBorder="1"/>
    <xf numFmtId="164" fontId="3" fillId="9" borderId="1" xfId="0" applyNumberFormat="1" applyFont="1" applyFill="1" applyBorder="1"/>
    <xf numFmtId="164" fontId="5" fillId="6" borderId="1" xfId="0" applyNumberFormat="1" applyFont="1" applyFill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9208-0BE1-4775-86EC-D7D4263425C1}">
  <dimension ref="E1:J54"/>
  <sheetViews>
    <sheetView tabSelected="1" topLeftCell="D1" workbookViewId="0">
      <selection activeCell="K42" sqref="K42"/>
    </sheetView>
  </sheetViews>
  <sheetFormatPr defaultRowHeight="15.6" x14ac:dyDescent="0.3"/>
  <cols>
    <col min="1" max="4" width="8.88671875" style="4"/>
    <col min="5" max="5" width="32.6640625" style="4" bestFit="1" customWidth="1"/>
    <col min="6" max="6" width="14.88671875" style="4" bestFit="1" customWidth="1"/>
    <col min="7" max="7" width="24.109375" style="4" bestFit="1" customWidth="1"/>
    <col min="8" max="8" width="20.21875" style="4" bestFit="1" customWidth="1"/>
    <col min="9" max="10" width="12.109375" style="4" bestFit="1" customWidth="1"/>
    <col min="11" max="11" width="11.44140625" style="4" bestFit="1" customWidth="1"/>
    <col min="12" max="12" width="21.77734375" style="4" bestFit="1" customWidth="1"/>
    <col min="13" max="13" width="11.44140625" style="4" bestFit="1" customWidth="1"/>
    <col min="14" max="16384" width="8.88671875" style="4"/>
  </cols>
  <sheetData>
    <row r="1" spans="5:10" x14ac:dyDescent="0.3">
      <c r="E1" s="71" t="s">
        <v>55</v>
      </c>
      <c r="F1" s="71"/>
      <c r="G1" s="71"/>
      <c r="H1" s="71"/>
      <c r="I1" s="71"/>
      <c r="J1" s="71"/>
    </row>
    <row r="2" spans="5:10" ht="15" customHeight="1" x14ac:dyDescent="0.3">
      <c r="E2" s="1" t="s">
        <v>4</v>
      </c>
      <c r="F2" s="1">
        <v>0</v>
      </c>
      <c r="G2" s="1">
        <v>1</v>
      </c>
      <c r="H2" s="1">
        <v>2</v>
      </c>
      <c r="I2" s="1">
        <v>3</v>
      </c>
      <c r="J2" s="1">
        <v>4</v>
      </c>
    </row>
    <row r="3" spans="5:10" x14ac:dyDescent="0.3">
      <c r="E3" s="2" t="s">
        <v>57</v>
      </c>
      <c r="F3" s="3">
        <v>820000</v>
      </c>
      <c r="G3" s="3"/>
      <c r="H3" s="3"/>
      <c r="I3" s="3"/>
      <c r="J3" s="3"/>
    </row>
    <row r="4" spans="5:10" x14ac:dyDescent="0.3">
      <c r="E4" s="2" t="s">
        <v>56</v>
      </c>
      <c r="F4" s="3">
        <v>40000</v>
      </c>
      <c r="G4" s="3"/>
      <c r="H4" s="3"/>
      <c r="I4" s="3"/>
      <c r="J4" s="3"/>
    </row>
    <row r="5" spans="5:10" x14ac:dyDescent="0.3">
      <c r="E5" s="2" t="s">
        <v>66</v>
      </c>
      <c r="F5" s="3">
        <f>F3+F4</f>
        <v>860000</v>
      </c>
      <c r="G5" s="3"/>
      <c r="H5" s="3"/>
      <c r="I5" s="3"/>
      <c r="J5" s="3"/>
    </row>
    <row r="6" spans="5:10" x14ac:dyDescent="0.3">
      <c r="E6" s="2" t="s">
        <v>10</v>
      </c>
      <c r="F6" s="3">
        <v>80000</v>
      </c>
      <c r="G6" s="3"/>
      <c r="H6" s="3"/>
      <c r="I6" s="3"/>
      <c r="J6" s="2"/>
    </row>
    <row r="7" spans="5:10" x14ac:dyDescent="0.3">
      <c r="E7" s="2" t="s">
        <v>58</v>
      </c>
      <c r="F7" s="14">
        <v>8.5000000000000006E-2</v>
      </c>
      <c r="G7" s="3"/>
      <c r="H7" s="3"/>
      <c r="I7" s="3"/>
      <c r="J7" s="2"/>
    </row>
    <row r="8" spans="5:10" x14ac:dyDescent="0.3">
      <c r="E8" s="2" t="s">
        <v>11</v>
      </c>
      <c r="F8" s="2"/>
      <c r="G8" s="3">
        <v>310000</v>
      </c>
      <c r="H8" s="3">
        <f>G8*110%</f>
        <v>341000</v>
      </c>
      <c r="I8" s="3">
        <f t="shared" ref="I8" si="0">H8*110%</f>
        <v>375100.00000000006</v>
      </c>
      <c r="J8" s="3">
        <f>I8*110%</f>
        <v>412610.00000000012</v>
      </c>
    </row>
    <row r="9" spans="5:10" ht="16.2" x14ac:dyDescent="0.35">
      <c r="E9" s="12" t="s">
        <v>60</v>
      </c>
      <c r="F9" s="12"/>
      <c r="G9" s="13">
        <f>G8</f>
        <v>310000</v>
      </c>
      <c r="H9" s="13">
        <f t="shared" ref="H9:I9" si="1">H8</f>
        <v>341000</v>
      </c>
      <c r="I9" s="13">
        <f t="shared" si="1"/>
        <v>375100.00000000006</v>
      </c>
      <c r="J9" s="13">
        <f>J8+F6</f>
        <v>492610.00000000012</v>
      </c>
    </row>
    <row r="10" spans="5:10" x14ac:dyDescent="0.3">
      <c r="J10" s="5"/>
    </row>
    <row r="11" spans="5:10" x14ac:dyDescent="0.3">
      <c r="E11" s="71" t="s">
        <v>61</v>
      </c>
      <c r="F11" s="71"/>
      <c r="G11" s="71"/>
      <c r="J11" s="5"/>
    </row>
    <row r="12" spans="5:10" x14ac:dyDescent="0.3">
      <c r="E12" s="1" t="s">
        <v>4</v>
      </c>
      <c r="F12" s="1" t="s">
        <v>59</v>
      </c>
      <c r="G12" s="1" t="s">
        <v>9</v>
      </c>
    </row>
    <row r="13" spans="5:10" x14ac:dyDescent="0.3">
      <c r="E13" s="2">
        <f>'Section A'!E34</f>
        <v>0</v>
      </c>
      <c r="F13" s="3">
        <f>-F5</f>
        <v>-860000</v>
      </c>
      <c r="G13" s="3">
        <f>F13</f>
        <v>-860000</v>
      </c>
    </row>
    <row r="14" spans="5:10" x14ac:dyDescent="0.3">
      <c r="E14" s="2">
        <f>'Section A'!E35</f>
        <v>1</v>
      </c>
      <c r="F14" s="3">
        <f>G9</f>
        <v>310000</v>
      </c>
      <c r="G14" s="3">
        <f>G13+F14</f>
        <v>-550000</v>
      </c>
    </row>
    <row r="15" spans="5:10" x14ac:dyDescent="0.3">
      <c r="E15" s="2">
        <f>'Section A'!E36</f>
        <v>2</v>
      </c>
      <c r="F15" s="3">
        <f>H9</f>
        <v>341000</v>
      </c>
      <c r="G15" s="3">
        <f t="shared" ref="G15:G17" si="2">G14+F15</f>
        <v>-209000</v>
      </c>
    </row>
    <row r="16" spans="5:10" x14ac:dyDescent="0.3">
      <c r="E16" s="2">
        <f>'Section A'!E37</f>
        <v>3</v>
      </c>
      <c r="F16" s="3">
        <f>I9</f>
        <v>375100.00000000006</v>
      </c>
      <c r="G16" s="3">
        <f t="shared" si="2"/>
        <v>166100.00000000006</v>
      </c>
    </row>
    <row r="17" spans="5:8" x14ac:dyDescent="0.3">
      <c r="E17" s="2">
        <f>'Section A'!E38</f>
        <v>4</v>
      </c>
      <c r="F17" s="3">
        <f>J9</f>
        <v>492610.00000000012</v>
      </c>
      <c r="G17" s="3">
        <f t="shared" si="2"/>
        <v>658710.00000000023</v>
      </c>
    </row>
    <row r="18" spans="5:8" x14ac:dyDescent="0.3">
      <c r="E18" s="68" t="s">
        <v>61</v>
      </c>
      <c r="F18" s="68"/>
      <c r="G18" s="10">
        <f>E15+(209000/F16)</f>
        <v>2.5571847507331378</v>
      </c>
    </row>
    <row r="19" spans="5:8" x14ac:dyDescent="0.3">
      <c r="E19" s="68" t="s">
        <v>13</v>
      </c>
      <c r="F19" s="68"/>
      <c r="G19" s="10" t="s">
        <v>67</v>
      </c>
    </row>
    <row r="21" spans="5:8" ht="13.8" customHeight="1" x14ac:dyDescent="0.3">
      <c r="E21" s="72" t="str">
        <f>E30</f>
        <v>Accounting Rate of Return (ARR)</v>
      </c>
      <c r="F21" s="73"/>
      <c r="G21" s="73"/>
      <c r="H21" s="74"/>
    </row>
    <row r="22" spans="5:8" x14ac:dyDescent="0.3">
      <c r="E22" s="1" t="s">
        <v>1</v>
      </c>
      <c r="F22" s="1" t="s">
        <v>6</v>
      </c>
      <c r="G22" s="1" t="s">
        <v>7</v>
      </c>
      <c r="H22" s="1" t="s">
        <v>68</v>
      </c>
    </row>
    <row r="23" spans="5:8" x14ac:dyDescent="0.3">
      <c r="E23" s="2">
        <v>1</v>
      </c>
      <c r="F23" s="3">
        <f>'Section A'!F35</f>
        <v>310000</v>
      </c>
      <c r="G23" s="3">
        <f>(F5-F6)/4</f>
        <v>195000</v>
      </c>
      <c r="H23" s="3">
        <f>F23-G23</f>
        <v>115000</v>
      </c>
    </row>
    <row r="24" spans="5:8" x14ac:dyDescent="0.3">
      <c r="E24" s="2">
        <v>2</v>
      </c>
      <c r="F24" s="3">
        <f>'Section A'!F36</f>
        <v>341000</v>
      </c>
      <c r="G24" s="3">
        <f>G23</f>
        <v>195000</v>
      </c>
      <c r="H24" s="3">
        <f>F24-G24</f>
        <v>146000</v>
      </c>
    </row>
    <row r="25" spans="5:8" x14ac:dyDescent="0.3">
      <c r="E25" s="2">
        <v>3</v>
      </c>
      <c r="F25" s="3">
        <f>'Section A'!F37</f>
        <v>375100.00000000006</v>
      </c>
      <c r="G25" s="3">
        <f t="shared" ref="G25:G26" si="3">G24</f>
        <v>195000</v>
      </c>
      <c r="H25" s="3">
        <f>F25-G25</f>
        <v>180100.00000000006</v>
      </c>
    </row>
    <row r="26" spans="5:8" x14ac:dyDescent="0.3">
      <c r="E26" s="2">
        <v>4</v>
      </c>
      <c r="F26" s="3">
        <f>'Section A'!F38</f>
        <v>492610.00000000012</v>
      </c>
      <c r="G26" s="3">
        <f t="shared" si="3"/>
        <v>195000</v>
      </c>
      <c r="H26" s="3">
        <f>F26-G26</f>
        <v>297610.00000000012</v>
      </c>
    </row>
    <row r="27" spans="5:8" x14ac:dyDescent="0.3">
      <c r="E27" s="2"/>
      <c r="F27" s="75" t="s">
        <v>72</v>
      </c>
      <c r="G27" s="76"/>
      <c r="H27" s="3"/>
    </row>
    <row r="28" spans="5:8" x14ac:dyDescent="0.3">
      <c r="E28" s="8" t="s">
        <v>69</v>
      </c>
      <c r="F28" s="69" t="s">
        <v>70</v>
      </c>
      <c r="G28" s="69"/>
      <c r="H28" s="9">
        <f>AVERAGE(H23:H26)</f>
        <v>184677.50000000006</v>
      </c>
    </row>
    <row r="29" spans="5:8" x14ac:dyDescent="0.3">
      <c r="E29" s="8" t="s">
        <v>5</v>
      </c>
      <c r="F29" s="68" t="s">
        <v>71</v>
      </c>
      <c r="G29" s="68"/>
      <c r="H29" s="9">
        <f>(F3+F4+F6)/2</f>
        <v>470000</v>
      </c>
    </row>
    <row r="30" spans="5:8" x14ac:dyDescent="0.3">
      <c r="E30" s="8" t="s">
        <v>62</v>
      </c>
      <c r="F30" s="77" t="s">
        <v>73</v>
      </c>
      <c r="G30" s="77"/>
      <c r="H30" s="11">
        <f>H28/H29</f>
        <v>0.39293085106382991</v>
      </c>
    </row>
    <row r="32" spans="5:8" x14ac:dyDescent="0.3">
      <c r="E32" s="71" t="s">
        <v>63</v>
      </c>
      <c r="F32" s="71"/>
      <c r="G32" s="71"/>
      <c r="H32" s="71"/>
    </row>
    <row r="33" spans="5:8" x14ac:dyDescent="0.3">
      <c r="E33" s="1" t="s">
        <v>25</v>
      </c>
      <c r="F33" s="1" t="str">
        <f>F42</f>
        <v xml:space="preserve">Cash flow </v>
      </c>
      <c r="G33" s="1" t="s">
        <v>64</v>
      </c>
      <c r="H33" s="1" t="str">
        <f>H42</f>
        <v>Discounted cashflow</v>
      </c>
    </row>
    <row r="34" spans="5:8" x14ac:dyDescent="0.3">
      <c r="E34" s="2">
        <v>0</v>
      </c>
      <c r="F34" s="3">
        <f>-F5</f>
        <v>-860000</v>
      </c>
      <c r="G34" s="15">
        <f>1/(1+8.5%)^E34</f>
        <v>1</v>
      </c>
      <c r="H34" s="3">
        <f>F34*G34</f>
        <v>-860000</v>
      </c>
    </row>
    <row r="35" spans="5:8" x14ac:dyDescent="0.3">
      <c r="E35" s="2">
        <v>1</v>
      </c>
      <c r="F35" s="3">
        <f>G9</f>
        <v>310000</v>
      </c>
      <c r="G35" s="15">
        <f t="shared" ref="G35:G38" si="4">1/(1+8.5%)^E35</f>
        <v>0.92165898617511521</v>
      </c>
      <c r="H35" s="3">
        <f>F35*G35</f>
        <v>285714.28571428574</v>
      </c>
    </row>
    <row r="36" spans="5:8" x14ac:dyDescent="0.3">
      <c r="E36" s="2">
        <v>2</v>
      </c>
      <c r="F36" s="3">
        <f>H9</f>
        <v>341000</v>
      </c>
      <c r="G36" s="15">
        <f t="shared" si="4"/>
        <v>0.84945528679734128</v>
      </c>
      <c r="H36" s="3">
        <f>F36*G36</f>
        <v>289664.25279789336</v>
      </c>
    </row>
    <row r="37" spans="5:8" x14ac:dyDescent="0.3">
      <c r="E37" s="2">
        <v>3</v>
      </c>
      <c r="F37" s="3">
        <f>I9</f>
        <v>375100.00000000006</v>
      </c>
      <c r="G37" s="15">
        <f t="shared" si="4"/>
        <v>0.78290809843072917</v>
      </c>
      <c r="H37" s="3">
        <f>F37*G37</f>
        <v>293668.82772136654</v>
      </c>
    </row>
    <row r="38" spans="5:8" x14ac:dyDescent="0.3">
      <c r="E38" s="2">
        <v>4</v>
      </c>
      <c r="F38" s="3">
        <f>J9</f>
        <v>492610.00000000012</v>
      </c>
      <c r="G38" s="15">
        <f t="shared" si="4"/>
        <v>0.72157428426795334</v>
      </c>
      <c r="H38" s="3">
        <f>F38*G38</f>
        <v>355454.70817323658</v>
      </c>
    </row>
    <row r="39" spans="5:8" x14ac:dyDescent="0.3">
      <c r="E39" s="68" t="s">
        <v>3</v>
      </c>
      <c r="F39" s="68"/>
      <c r="G39" s="68"/>
      <c r="H39" s="9">
        <f>SUM(H34:H38)</f>
        <v>364502.07440678217</v>
      </c>
    </row>
    <row r="41" spans="5:8" x14ac:dyDescent="0.3">
      <c r="E41" s="71" t="s">
        <v>12</v>
      </c>
      <c r="F41" s="71"/>
      <c r="G41" s="71"/>
      <c r="H41" s="71"/>
    </row>
    <row r="42" spans="5:8" x14ac:dyDescent="0.3">
      <c r="E42" s="1" t="s">
        <v>25</v>
      </c>
      <c r="F42" s="1" t="s">
        <v>6</v>
      </c>
      <c r="G42" s="1" t="s">
        <v>2</v>
      </c>
      <c r="H42" s="1" t="s">
        <v>8</v>
      </c>
    </row>
    <row r="43" spans="5:8" x14ac:dyDescent="0.3">
      <c r="E43" s="1" t="s">
        <v>65</v>
      </c>
      <c r="F43" s="70">
        <v>0.27</v>
      </c>
      <c r="G43" s="70"/>
      <c r="H43" s="70"/>
    </row>
    <row r="44" spans="5:8" x14ac:dyDescent="0.3">
      <c r="E44" s="2">
        <v>0</v>
      </c>
      <c r="F44" s="3">
        <f>F34</f>
        <v>-860000</v>
      </c>
      <c r="G44" s="15">
        <f>1/(1+$F$43)^E44</f>
        <v>1</v>
      </c>
      <c r="H44" s="3">
        <f>F44*G44</f>
        <v>-860000</v>
      </c>
    </row>
    <row r="45" spans="5:8" x14ac:dyDescent="0.3">
      <c r="E45" s="2">
        <v>1</v>
      </c>
      <c r="F45" s="3">
        <f>F35</f>
        <v>310000</v>
      </c>
      <c r="G45" s="15">
        <f t="shared" ref="G45:G48" si="5">1/(1+$F$43)^E45</f>
        <v>0.78740157480314954</v>
      </c>
      <c r="H45" s="3">
        <f>F45*G45</f>
        <v>244094.48818897636</v>
      </c>
    </row>
    <row r="46" spans="5:8" x14ac:dyDescent="0.3">
      <c r="E46" s="2">
        <v>2</v>
      </c>
      <c r="F46" s="3">
        <f>F36</f>
        <v>341000</v>
      </c>
      <c r="G46" s="15">
        <f t="shared" si="5"/>
        <v>0.62000124000248003</v>
      </c>
      <c r="H46" s="3">
        <f>F46*G46</f>
        <v>211420.42284084568</v>
      </c>
    </row>
    <row r="47" spans="5:8" x14ac:dyDescent="0.3">
      <c r="E47" s="2">
        <v>3</v>
      </c>
      <c r="F47" s="3">
        <f>F37</f>
        <v>375100.00000000006</v>
      </c>
      <c r="G47" s="15">
        <f t="shared" si="5"/>
        <v>0.48818995275785831</v>
      </c>
      <c r="H47" s="3">
        <f>F47*G47</f>
        <v>183120.05127947268</v>
      </c>
    </row>
    <row r="48" spans="5:8" x14ac:dyDescent="0.3">
      <c r="E48" s="2">
        <v>4</v>
      </c>
      <c r="F48" s="3">
        <f>F38</f>
        <v>492610.00000000012</v>
      </c>
      <c r="G48" s="15">
        <f t="shared" si="5"/>
        <v>0.38440153760461282</v>
      </c>
      <c r="H48" s="3">
        <f>F48*G48</f>
        <v>189360.04143940838</v>
      </c>
    </row>
    <row r="49" spans="5:8" x14ac:dyDescent="0.3">
      <c r="E49" s="68" t="s">
        <v>12</v>
      </c>
      <c r="F49" s="68"/>
      <c r="G49" s="68"/>
      <c r="H49" s="9">
        <f>SUM(H44:H48)</f>
        <v>-32004.996251296863</v>
      </c>
    </row>
    <row r="53" spans="5:8" x14ac:dyDescent="0.3">
      <c r="H53" s="17">
        <f>8.5%+(H39/(H39-H49))*(20%-8.5%)</f>
        <v>0.19071750583718339</v>
      </c>
    </row>
    <row r="54" spans="5:8" x14ac:dyDescent="0.3">
      <c r="H54" s="16"/>
    </row>
  </sheetData>
  <mergeCells count="14">
    <mergeCell ref="E1:J1"/>
    <mergeCell ref="E11:G11"/>
    <mergeCell ref="E21:H21"/>
    <mergeCell ref="E32:H32"/>
    <mergeCell ref="E41:H41"/>
    <mergeCell ref="F27:G27"/>
    <mergeCell ref="F30:G30"/>
    <mergeCell ref="E49:G49"/>
    <mergeCell ref="E39:G39"/>
    <mergeCell ref="E18:F18"/>
    <mergeCell ref="E19:F19"/>
    <mergeCell ref="F28:G28"/>
    <mergeCell ref="F29:G29"/>
    <mergeCell ref="F43:H43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5A8C-22D8-4985-9657-719A44CDE5A1}">
  <dimension ref="C2:F98"/>
  <sheetViews>
    <sheetView topLeftCell="A40" workbookViewId="0">
      <selection activeCell="G60" sqref="G60"/>
    </sheetView>
  </sheetViews>
  <sheetFormatPr defaultRowHeight="15.6" x14ac:dyDescent="0.3"/>
  <cols>
    <col min="1" max="2" width="8.88671875" style="4"/>
    <col min="3" max="3" width="49.88671875" style="4" bestFit="1" customWidth="1"/>
    <col min="4" max="4" width="33.5546875" style="4" bestFit="1" customWidth="1"/>
    <col min="5" max="5" width="29.6640625" style="4" bestFit="1" customWidth="1"/>
    <col min="6" max="6" width="15.77734375" style="4" customWidth="1"/>
    <col min="7" max="7" width="33.5546875" style="4" bestFit="1" customWidth="1"/>
    <col min="8" max="8" width="8.88671875" style="4"/>
    <col min="9" max="9" width="34.44140625" style="4" bestFit="1" customWidth="1"/>
    <col min="10" max="10" width="33.5546875" style="4" bestFit="1" customWidth="1"/>
    <col min="11" max="16384" width="8.88671875" style="4"/>
  </cols>
  <sheetData>
    <row r="2" spans="3:6" x14ac:dyDescent="0.3">
      <c r="C2" s="87" t="s">
        <v>74</v>
      </c>
      <c r="D2" s="87"/>
      <c r="E2" s="87"/>
      <c r="F2" s="87"/>
    </row>
    <row r="3" spans="3:6" x14ac:dyDescent="0.3">
      <c r="C3" s="87" t="s">
        <v>75</v>
      </c>
      <c r="D3" s="87"/>
      <c r="E3" s="87"/>
      <c r="F3" s="87"/>
    </row>
    <row r="4" spans="3:6" x14ac:dyDescent="0.3">
      <c r="C4" s="25" t="s">
        <v>14</v>
      </c>
      <c r="D4" s="25" t="s">
        <v>15</v>
      </c>
      <c r="E4" s="25" t="s">
        <v>16</v>
      </c>
      <c r="F4" s="25" t="s">
        <v>17</v>
      </c>
    </row>
    <row r="5" spans="3:6" x14ac:dyDescent="0.3">
      <c r="C5" s="26">
        <v>1</v>
      </c>
      <c r="D5" s="27">
        <v>18000</v>
      </c>
      <c r="E5" s="28">
        <v>2</v>
      </c>
      <c r="F5" s="29">
        <f>D5*E5</f>
        <v>36000</v>
      </c>
    </row>
    <row r="6" spans="3:6" x14ac:dyDescent="0.3">
      <c r="C6" s="26">
        <v>2</v>
      </c>
      <c r="D6" s="27">
        <v>22000</v>
      </c>
      <c r="E6" s="28">
        <v>2</v>
      </c>
      <c r="F6" s="29">
        <f t="shared" ref="F6:F8" si="0">D6*E6</f>
        <v>44000</v>
      </c>
    </row>
    <row r="7" spans="3:6" x14ac:dyDescent="0.3">
      <c r="C7" s="26">
        <v>3</v>
      </c>
      <c r="D7" s="27">
        <v>26000</v>
      </c>
      <c r="E7" s="28">
        <v>2</v>
      </c>
      <c r="F7" s="29">
        <f t="shared" si="0"/>
        <v>52000</v>
      </c>
    </row>
    <row r="8" spans="3:6" x14ac:dyDescent="0.3">
      <c r="C8" s="26">
        <v>4</v>
      </c>
      <c r="D8" s="27">
        <v>30000</v>
      </c>
      <c r="E8" s="28">
        <v>2</v>
      </c>
      <c r="F8" s="29">
        <f t="shared" si="0"/>
        <v>60000</v>
      </c>
    </row>
    <row r="9" spans="3:6" ht="16.2" x14ac:dyDescent="0.35">
      <c r="C9" s="30" t="s">
        <v>18</v>
      </c>
      <c r="D9" s="31">
        <f>SUM(D5:D8)</f>
        <v>96000</v>
      </c>
      <c r="E9" s="32"/>
      <c r="F9" s="33">
        <f>SUM(F5:F8)</f>
        <v>192000</v>
      </c>
    </row>
    <row r="10" spans="3:6" x14ac:dyDescent="0.3">
      <c r="C10" s="87" t="s">
        <v>76</v>
      </c>
      <c r="D10" s="87"/>
      <c r="E10" s="87"/>
      <c r="F10" s="87"/>
    </row>
    <row r="11" spans="3:6" x14ac:dyDescent="0.3">
      <c r="C11" s="25" t="s">
        <v>14</v>
      </c>
      <c r="D11" s="25" t="s">
        <v>15</v>
      </c>
      <c r="E11" s="25" t="s">
        <v>16</v>
      </c>
      <c r="F11" s="25" t="str">
        <f>F4</f>
        <v>Sales Revenue</v>
      </c>
    </row>
    <row r="12" spans="3:6" x14ac:dyDescent="0.3">
      <c r="C12" s="26">
        <v>1</v>
      </c>
      <c r="D12" s="27">
        <v>12000</v>
      </c>
      <c r="E12" s="28">
        <v>3</v>
      </c>
      <c r="F12" s="29">
        <f>D12*E12</f>
        <v>36000</v>
      </c>
    </row>
    <row r="13" spans="3:6" x14ac:dyDescent="0.3">
      <c r="C13" s="26">
        <v>2</v>
      </c>
      <c r="D13" s="27">
        <v>15000</v>
      </c>
      <c r="E13" s="28">
        <v>3</v>
      </c>
      <c r="F13" s="29">
        <f t="shared" ref="F13:F15" si="1">D13*E13</f>
        <v>45000</v>
      </c>
    </row>
    <row r="14" spans="3:6" x14ac:dyDescent="0.3">
      <c r="C14" s="26">
        <v>3</v>
      </c>
      <c r="D14" s="27">
        <v>18000</v>
      </c>
      <c r="E14" s="28">
        <v>3</v>
      </c>
      <c r="F14" s="29">
        <f t="shared" si="1"/>
        <v>54000</v>
      </c>
    </row>
    <row r="15" spans="3:6" x14ac:dyDescent="0.3">
      <c r="C15" s="26">
        <v>4</v>
      </c>
      <c r="D15" s="27">
        <v>22000</v>
      </c>
      <c r="E15" s="28">
        <v>3</v>
      </c>
      <c r="F15" s="29">
        <f t="shared" si="1"/>
        <v>66000</v>
      </c>
    </row>
    <row r="16" spans="3:6" ht="16.2" x14ac:dyDescent="0.35">
      <c r="C16" s="30" t="s">
        <v>18</v>
      </c>
      <c r="D16" s="31">
        <f>SUM(D12:D15)</f>
        <v>67000</v>
      </c>
      <c r="E16" s="32"/>
      <c r="F16" s="33">
        <f>SUM(F12:F15)</f>
        <v>201000</v>
      </c>
    </row>
    <row r="17" spans="3:6" ht="16.2" x14ac:dyDescent="0.35">
      <c r="C17" s="30" t="s">
        <v>77</v>
      </c>
      <c r="D17" s="30"/>
      <c r="E17" s="30"/>
      <c r="F17" s="33">
        <f>F9+F16</f>
        <v>393000</v>
      </c>
    </row>
    <row r="19" spans="3:6" x14ac:dyDescent="0.3">
      <c r="C19" s="86" t="s">
        <v>78</v>
      </c>
      <c r="D19" s="86"/>
      <c r="E19" s="7"/>
      <c r="F19" s="7"/>
    </row>
    <row r="20" spans="3:6" x14ac:dyDescent="0.3">
      <c r="C20" s="86" t="str">
        <f>C3</f>
        <v>Product A: Packaged Energy Bar</v>
      </c>
      <c r="D20" s="86"/>
      <c r="E20" s="7"/>
      <c r="F20" s="7"/>
    </row>
    <row r="21" spans="3:6" x14ac:dyDescent="0.3">
      <c r="C21" s="34" t="s">
        <v>79</v>
      </c>
      <c r="D21" s="34" t="s">
        <v>19</v>
      </c>
    </row>
    <row r="22" spans="3:6" x14ac:dyDescent="0.3">
      <c r="C22" s="35" t="s">
        <v>80</v>
      </c>
      <c r="D22" s="36">
        <v>0.35</v>
      </c>
    </row>
    <row r="23" spans="3:6" x14ac:dyDescent="0.3">
      <c r="C23" s="35" t="s">
        <v>81</v>
      </c>
      <c r="D23" s="36">
        <v>0.22</v>
      </c>
    </row>
    <row r="24" spans="3:6" x14ac:dyDescent="0.3">
      <c r="C24" s="35" t="s">
        <v>82</v>
      </c>
      <c r="D24" s="36">
        <v>0.18</v>
      </c>
    </row>
    <row r="25" spans="3:6" x14ac:dyDescent="0.3">
      <c r="C25" s="35" t="s">
        <v>21</v>
      </c>
      <c r="D25" s="36">
        <v>0.3</v>
      </c>
    </row>
    <row r="26" spans="3:6" ht="16.2" x14ac:dyDescent="0.35">
      <c r="C26" s="37" t="s">
        <v>20</v>
      </c>
      <c r="D26" s="38">
        <f>SUM(D22:D25)</f>
        <v>1.05</v>
      </c>
    </row>
    <row r="27" spans="3:6" x14ac:dyDescent="0.3">
      <c r="C27" s="86" t="str">
        <f>C10</f>
        <v>Product B: Bottled Fruit Juice</v>
      </c>
      <c r="D27" s="86"/>
    </row>
    <row r="28" spans="3:6" x14ac:dyDescent="0.3">
      <c r="C28" s="34" t="s">
        <v>79</v>
      </c>
      <c r="D28" s="34" t="s">
        <v>19</v>
      </c>
    </row>
    <row r="29" spans="3:6" x14ac:dyDescent="0.3">
      <c r="C29" s="35" t="s">
        <v>83</v>
      </c>
      <c r="D29" s="36">
        <v>0.9</v>
      </c>
    </row>
    <row r="30" spans="3:6" x14ac:dyDescent="0.3">
      <c r="C30" s="35" t="s">
        <v>84</v>
      </c>
      <c r="D30" s="36">
        <v>0.4</v>
      </c>
    </row>
    <row r="31" spans="3:6" x14ac:dyDescent="0.3">
      <c r="C31" s="35" t="s">
        <v>21</v>
      </c>
      <c r="D31" s="36">
        <v>0.45</v>
      </c>
    </row>
    <row r="32" spans="3:6" x14ac:dyDescent="0.3">
      <c r="C32" s="35" t="s">
        <v>85</v>
      </c>
      <c r="D32" s="36">
        <v>0.25</v>
      </c>
    </row>
    <row r="33" spans="3:5" ht="16.2" x14ac:dyDescent="0.35">
      <c r="C33" s="37" t="s">
        <v>20</v>
      </c>
      <c r="D33" s="38">
        <f>SUM(D29:D32)</f>
        <v>2</v>
      </c>
    </row>
    <row r="35" spans="3:5" x14ac:dyDescent="0.3">
      <c r="C35" s="79" t="s">
        <v>86</v>
      </c>
      <c r="D35" s="79"/>
    </row>
    <row r="36" spans="3:5" x14ac:dyDescent="0.3">
      <c r="C36" s="39" t="s">
        <v>22</v>
      </c>
      <c r="D36" s="39" t="s">
        <v>87</v>
      </c>
    </row>
    <row r="37" spans="3:5" x14ac:dyDescent="0.3">
      <c r="C37" s="40" t="s">
        <v>88</v>
      </c>
      <c r="D37" s="41">
        <v>40000</v>
      </c>
    </row>
    <row r="38" spans="3:5" x14ac:dyDescent="0.3">
      <c r="C38" s="40" t="s">
        <v>89</v>
      </c>
      <c r="D38" s="41">
        <v>70000</v>
      </c>
    </row>
    <row r="39" spans="3:5" x14ac:dyDescent="0.3">
      <c r="C39" s="40" t="s">
        <v>90</v>
      </c>
      <c r="D39" s="41">
        <v>30000</v>
      </c>
    </row>
    <row r="40" spans="3:5" x14ac:dyDescent="0.3">
      <c r="C40" s="40" t="s">
        <v>23</v>
      </c>
      <c r="D40" s="41">
        <v>12000</v>
      </c>
    </row>
    <row r="41" spans="3:5" x14ac:dyDescent="0.3">
      <c r="C41" s="40" t="s">
        <v>91</v>
      </c>
      <c r="D41" s="41">
        <v>8000</v>
      </c>
    </row>
    <row r="42" spans="3:5" x14ac:dyDescent="0.3">
      <c r="C42" s="40" t="s">
        <v>92</v>
      </c>
      <c r="D42" s="41">
        <v>12000</v>
      </c>
    </row>
    <row r="43" spans="3:5" x14ac:dyDescent="0.3">
      <c r="C43" s="40" t="s">
        <v>93</v>
      </c>
      <c r="D43" s="41">
        <v>18000</v>
      </c>
    </row>
    <row r="44" spans="3:5" x14ac:dyDescent="0.3">
      <c r="C44" s="40" t="s">
        <v>94</v>
      </c>
      <c r="D44" s="41">
        <v>14000</v>
      </c>
    </row>
    <row r="45" spans="3:5" ht="16.2" x14ac:dyDescent="0.35">
      <c r="C45" s="42" t="s">
        <v>24</v>
      </c>
      <c r="D45" s="67">
        <f>SUM(D37:D44)</f>
        <v>204000</v>
      </c>
    </row>
    <row r="46" spans="3:5" x14ac:dyDescent="0.3">
      <c r="D46" s="6"/>
    </row>
    <row r="47" spans="3:5" x14ac:dyDescent="0.3">
      <c r="C47" s="80" t="s">
        <v>95</v>
      </c>
      <c r="D47" s="80"/>
      <c r="E47" s="80"/>
    </row>
    <row r="48" spans="3:5" x14ac:dyDescent="0.3">
      <c r="C48" s="43" t="s">
        <v>25</v>
      </c>
      <c r="D48" s="43" t="str">
        <f>C3</f>
        <v>Product A: Packaged Energy Bar</v>
      </c>
      <c r="E48" s="43" t="str">
        <f>C10</f>
        <v>Product B: Bottled Fruit Juice</v>
      </c>
    </row>
    <row r="49" spans="3:5" x14ac:dyDescent="0.3">
      <c r="C49" s="44" t="s">
        <v>26</v>
      </c>
      <c r="D49" s="45">
        <f>$D$45*50%</f>
        <v>102000</v>
      </c>
      <c r="E49" s="45">
        <f>$D$45*50%</f>
        <v>102000</v>
      </c>
    </row>
    <row r="50" spans="3:5" x14ac:dyDescent="0.3">
      <c r="C50" s="44" t="s">
        <v>16</v>
      </c>
      <c r="D50" s="46">
        <f>E5</f>
        <v>2</v>
      </c>
      <c r="E50" s="46">
        <f>E12</f>
        <v>3</v>
      </c>
    </row>
    <row r="51" spans="3:5" x14ac:dyDescent="0.3">
      <c r="C51" s="44" t="s">
        <v>27</v>
      </c>
      <c r="D51" s="46">
        <f>D26</f>
        <v>1.05</v>
      </c>
      <c r="E51" s="46">
        <f>D33</f>
        <v>2</v>
      </c>
    </row>
    <row r="52" spans="3:5" x14ac:dyDescent="0.3">
      <c r="C52" s="47" t="s">
        <v>28</v>
      </c>
      <c r="D52" s="48">
        <f>D50-D51</f>
        <v>0.95</v>
      </c>
      <c r="E52" s="48">
        <f>E50-E51</f>
        <v>1</v>
      </c>
    </row>
    <row r="53" spans="3:5" x14ac:dyDescent="0.3">
      <c r="C53" s="47" t="s">
        <v>29</v>
      </c>
      <c r="D53" s="49">
        <f>D49/D52</f>
        <v>107368.42105263159</v>
      </c>
      <c r="E53" s="49">
        <f>E49/E52</f>
        <v>102000</v>
      </c>
    </row>
    <row r="54" spans="3:5" x14ac:dyDescent="0.3">
      <c r="C54" s="47" t="s">
        <v>30</v>
      </c>
      <c r="D54" s="50">
        <f>D53*D50</f>
        <v>214736.84210526317</v>
      </c>
      <c r="E54" s="50">
        <f>E53*E50</f>
        <v>306000</v>
      </c>
    </row>
    <row r="57" spans="3:5" x14ac:dyDescent="0.3">
      <c r="C57" s="81" t="s">
        <v>96</v>
      </c>
      <c r="D57" s="81"/>
      <c r="E57" s="81"/>
    </row>
    <row r="58" spans="3:5" x14ac:dyDescent="0.3">
      <c r="C58" s="51" t="s">
        <v>79</v>
      </c>
      <c r="D58" s="51" t="str">
        <f>D48</f>
        <v>Product A: Packaged Energy Bar</v>
      </c>
      <c r="E58" s="51" t="str">
        <f>E48</f>
        <v>Product B: Bottled Fruit Juice</v>
      </c>
    </row>
    <row r="59" spans="3:5" x14ac:dyDescent="0.3">
      <c r="C59" s="52" t="s">
        <v>31</v>
      </c>
      <c r="D59" s="53">
        <f>D9</f>
        <v>96000</v>
      </c>
      <c r="E59" s="53">
        <f>D16</f>
        <v>67000</v>
      </c>
    </row>
    <row r="60" spans="3:5" x14ac:dyDescent="0.3">
      <c r="C60" s="52" t="s">
        <v>32</v>
      </c>
      <c r="D60" s="54">
        <f>D53</f>
        <v>107368.42105263159</v>
      </c>
      <c r="E60" s="54">
        <f>E53</f>
        <v>102000</v>
      </c>
    </row>
    <row r="61" spans="3:5" ht="16.2" x14ac:dyDescent="0.35">
      <c r="C61" s="55" t="s">
        <v>33</v>
      </c>
      <c r="D61" s="56">
        <f>D59-D60</f>
        <v>-11368.421052631587</v>
      </c>
      <c r="E61" s="56">
        <f>E59-E60</f>
        <v>-35000</v>
      </c>
    </row>
    <row r="62" spans="3:5" ht="16.2" x14ac:dyDescent="0.35">
      <c r="C62" s="55" t="s">
        <v>34</v>
      </c>
      <c r="D62" s="57">
        <f>D61/D59</f>
        <v>-0.11842105263157904</v>
      </c>
      <c r="E62" s="57">
        <f>E61/E59</f>
        <v>-0.52238805970149249</v>
      </c>
    </row>
    <row r="65" spans="3:5" x14ac:dyDescent="0.3">
      <c r="C65" s="82" t="s">
        <v>97</v>
      </c>
      <c r="D65" s="82"/>
      <c r="E65" s="82"/>
    </row>
    <row r="66" spans="3:5" x14ac:dyDescent="0.3">
      <c r="C66" s="18" t="s">
        <v>0</v>
      </c>
      <c r="D66" s="18" t="str">
        <f>D58</f>
        <v>Product A: Packaged Energy Bar</v>
      </c>
      <c r="E66" s="18" t="str">
        <f>E58</f>
        <v>Product B: Bottled Fruit Juice</v>
      </c>
    </row>
    <row r="67" spans="3:5" x14ac:dyDescent="0.3">
      <c r="C67" s="19" t="s">
        <v>35</v>
      </c>
      <c r="D67" s="20">
        <f>D59</f>
        <v>96000</v>
      </c>
      <c r="E67" s="19">
        <f>E59</f>
        <v>67000</v>
      </c>
    </row>
    <row r="68" spans="3:5" x14ac:dyDescent="0.3">
      <c r="C68" s="19" t="s">
        <v>36</v>
      </c>
      <c r="D68" s="21">
        <f>D50</f>
        <v>2</v>
      </c>
      <c r="E68" s="21">
        <f>E50</f>
        <v>3</v>
      </c>
    </row>
    <row r="69" spans="3:5" x14ac:dyDescent="0.3">
      <c r="C69" s="19" t="s">
        <v>27</v>
      </c>
      <c r="D69" s="21">
        <f>D51</f>
        <v>1.05</v>
      </c>
      <c r="E69" s="21">
        <f>E51</f>
        <v>2</v>
      </c>
    </row>
    <row r="70" spans="3:5" x14ac:dyDescent="0.3">
      <c r="C70" s="19" t="s">
        <v>37</v>
      </c>
      <c r="D70" s="22">
        <f>D49</f>
        <v>102000</v>
      </c>
      <c r="E70" s="22">
        <f>E49</f>
        <v>102000</v>
      </c>
    </row>
    <row r="71" spans="3:5" x14ac:dyDescent="0.3">
      <c r="C71" s="19" t="s">
        <v>38</v>
      </c>
      <c r="D71" s="22">
        <f>D67*D68</f>
        <v>192000</v>
      </c>
      <c r="E71" s="22">
        <f>E67*E68</f>
        <v>201000</v>
      </c>
    </row>
    <row r="72" spans="3:5" x14ac:dyDescent="0.3">
      <c r="C72" s="19" t="s">
        <v>39</v>
      </c>
      <c r="D72" s="22">
        <f>D67*D69</f>
        <v>100800</v>
      </c>
      <c r="E72" s="22">
        <f>E67*E69</f>
        <v>134000</v>
      </c>
    </row>
    <row r="73" spans="3:5" x14ac:dyDescent="0.3">
      <c r="C73" s="19" t="s">
        <v>40</v>
      </c>
      <c r="D73" s="22">
        <f>D71-D72</f>
        <v>91200</v>
      </c>
      <c r="E73" s="22">
        <f>E71-E72</f>
        <v>67000</v>
      </c>
    </row>
    <row r="74" spans="3:5" ht="16.2" x14ac:dyDescent="0.35">
      <c r="C74" s="23" t="s">
        <v>41</v>
      </c>
      <c r="D74" s="24">
        <f>D73-D70</f>
        <v>-10800</v>
      </c>
      <c r="E74" s="24">
        <f>E73-E70</f>
        <v>-35000</v>
      </c>
    </row>
    <row r="77" spans="3:5" x14ac:dyDescent="0.3">
      <c r="C77" s="78" t="s">
        <v>103</v>
      </c>
      <c r="D77" s="78"/>
      <c r="E77" s="78"/>
    </row>
    <row r="78" spans="3:5" x14ac:dyDescent="0.3">
      <c r="C78" s="58" t="s">
        <v>0</v>
      </c>
      <c r="D78" s="58" t="str">
        <f>D66</f>
        <v>Product A: Packaged Energy Bar</v>
      </c>
      <c r="E78" s="58" t="str">
        <f>E66</f>
        <v>Product B: Bottled Fruit Juice</v>
      </c>
    </row>
    <row r="79" spans="3:5" ht="16.2" x14ac:dyDescent="0.35">
      <c r="C79" s="59" t="s">
        <v>42</v>
      </c>
      <c r="D79" s="83" t="s">
        <v>43</v>
      </c>
      <c r="E79" s="83"/>
    </row>
    <row r="80" spans="3:5" x14ac:dyDescent="0.3">
      <c r="C80" s="60" t="s">
        <v>44</v>
      </c>
      <c r="D80" s="61">
        <v>0.02</v>
      </c>
      <c r="E80" s="61">
        <v>0.05</v>
      </c>
    </row>
    <row r="81" spans="3:5" x14ac:dyDescent="0.3">
      <c r="C81" s="60" t="s">
        <v>45</v>
      </c>
      <c r="D81" s="62">
        <f>D52</f>
        <v>0.95</v>
      </c>
      <c r="E81" s="62">
        <f>E52</f>
        <v>1</v>
      </c>
    </row>
    <row r="82" spans="3:5" x14ac:dyDescent="0.3">
      <c r="C82" s="63" t="s">
        <v>46</v>
      </c>
      <c r="D82" s="64">
        <f>D81/D80</f>
        <v>47.5</v>
      </c>
      <c r="E82" s="64">
        <f>E81/E80</f>
        <v>20</v>
      </c>
    </row>
    <row r="83" spans="3:5" x14ac:dyDescent="0.3">
      <c r="C83" s="78" t="s">
        <v>47</v>
      </c>
      <c r="D83" s="78"/>
      <c r="E83" s="78"/>
    </row>
    <row r="84" spans="3:5" x14ac:dyDescent="0.3">
      <c r="C84" s="60" t="s">
        <v>48</v>
      </c>
      <c r="D84" s="84">
        <v>120000</v>
      </c>
      <c r="E84" s="85"/>
    </row>
    <row r="85" spans="3:5" x14ac:dyDescent="0.3">
      <c r="C85" s="78" t="str">
        <f>D78</f>
        <v>Product A: Packaged Energy Bar</v>
      </c>
      <c r="D85" s="78"/>
      <c r="E85" s="78"/>
    </row>
    <row r="86" spans="3:5" x14ac:dyDescent="0.3">
      <c r="C86" s="60" t="s">
        <v>98</v>
      </c>
      <c r="D86" s="60">
        <f>D84/E80</f>
        <v>2400000</v>
      </c>
      <c r="E86" s="60"/>
    </row>
    <row r="87" spans="3:5" x14ac:dyDescent="0.3">
      <c r="C87" s="60" t="s">
        <v>99</v>
      </c>
      <c r="D87" s="60">
        <f>E67*E80</f>
        <v>3350</v>
      </c>
      <c r="E87" s="60"/>
    </row>
    <row r="88" spans="3:5" x14ac:dyDescent="0.3">
      <c r="C88" s="60" t="s">
        <v>49</v>
      </c>
      <c r="D88" s="60">
        <f>D84-D87</f>
        <v>116650</v>
      </c>
      <c r="E88" s="60"/>
    </row>
    <row r="89" spans="3:5" x14ac:dyDescent="0.3">
      <c r="C89" s="78" t="str">
        <f>E78</f>
        <v>Product B: Bottled Fruit Juice</v>
      </c>
      <c r="D89" s="78"/>
      <c r="E89" s="78"/>
    </row>
    <row r="90" spans="3:5" x14ac:dyDescent="0.3">
      <c r="C90" s="60" t="s">
        <v>100</v>
      </c>
      <c r="D90" s="60">
        <f>D88/D80</f>
        <v>5832500</v>
      </c>
      <c r="E90" s="60"/>
    </row>
    <row r="91" spans="3:5" x14ac:dyDescent="0.3">
      <c r="C91" s="60" t="s">
        <v>101</v>
      </c>
      <c r="D91" s="60">
        <v>60000</v>
      </c>
      <c r="E91" s="60"/>
    </row>
    <row r="92" spans="3:5" x14ac:dyDescent="0.3">
      <c r="C92" s="60" t="s">
        <v>102</v>
      </c>
      <c r="D92" s="60">
        <f>D91*D80</f>
        <v>1200</v>
      </c>
      <c r="E92" s="60"/>
    </row>
    <row r="93" spans="3:5" x14ac:dyDescent="0.3">
      <c r="C93" s="63" t="s">
        <v>50</v>
      </c>
      <c r="D93" s="63">
        <f>D84-(D87+D92)</f>
        <v>115450</v>
      </c>
      <c r="E93" s="60"/>
    </row>
    <row r="94" spans="3:5" x14ac:dyDescent="0.3">
      <c r="C94" s="78" t="s">
        <v>51</v>
      </c>
      <c r="D94" s="78"/>
      <c r="E94" s="78"/>
    </row>
    <row r="95" spans="3:5" x14ac:dyDescent="0.3">
      <c r="C95" s="58" t="s">
        <v>52</v>
      </c>
      <c r="D95" s="58" t="str">
        <f>D78</f>
        <v>Product A: Packaged Energy Bar</v>
      </c>
      <c r="E95" s="58" t="str">
        <f>E78</f>
        <v>Product B: Bottled Fruit Juice</v>
      </c>
    </row>
    <row r="96" spans="3:5" x14ac:dyDescent="0.3">
      <c r="C96" s="60" t="s">
        <v>53</v>
      </c>
      <c r="D96" s="65">
        <f>D9</f>
        <v>96000</v>
      </c>
      <c r="E96" s="65">
        <f>D16</f>
        <v>67000</v>
      </c>
    </row>
    <row r="97" spans="3:5" x14ac:dyDescent="0.3">
      <c r="C97" s="60" t="str">
        <f>C81</f>
        <v>Contribution per Unit</v>
      </c>
      <c r="D97" s="61">
        <f>D81</f>
        <v>0.95</v>
      </c>
      <c r="E97" s="61">
        <f>E81</f>
        <v>1</v>
      </c>
    </row>
    <row r="98" spans="3:5" x14ac:dyDescent="0.3">
      <c r="C98" s="63" t="s">
        <v>54</v>
      </c>
      <c r="D98" s="66">
        <f>D96*D97</f>
        <v>91200</v>
      </c>
      <c r="E98" s="66">
        <f>E96*E97</f>
        <v>67000</v>
      </c>
    </row>
  </sheetData>
  <mergeCells count="17">
    <mergeCell ref="C27:D27"/>
    <mergeCell ref="C2:F2"/>
    <mergeCell ref="C3:F3"/>
    <mergeCell ref="C10:F10"/>
    <mergeCell ref="C19:D19"/>
    <mergeCell ref="C20:D20"/>
    <mergeCell ref="C83:E83"/>
    <mergeCell ref="C85:E85"/>
    <mergeCell ref="C89:E89"/>
    <mergeCell ref="C94:E94"/>
    <mergeCell ref="C35:D35"/>
    <mergeCell ref="C47:E47"/>
    <mergeCell ref="C57:E57"/>
    <mergeCell ref="C65:E65"/>
    <mergeCell ref="C77:E77"/>
    <mergeCell ref="D79:E79"/>
    <mergeCell ref="D84:E8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 A</vt:lpstr>
      <vt:lpstr>Section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2026-01-08T08:11:03Z</dcterms:created>
  <dcterms:modified xsi:type="dcterms:W3CDTF">2026-01-12T07:34:40Z</dcterms:modified>
</cp:coreProperties>
</file>